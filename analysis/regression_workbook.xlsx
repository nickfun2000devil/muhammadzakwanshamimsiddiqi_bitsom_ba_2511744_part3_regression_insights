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part3_capstone\analysis\"/>
    </mc:Choice>
  </mc:AlternateContent>
  <bookViews>
    <workbookView xWindow="0" yWindow="0" windowWidth="20490" windowHeight="8925" firstSheet="6" activeTab="8"/>
  </bookViews>
  <sheets>
    <sheet name="data_dictionary" sheetId="2" state="hidden" r:id="rId1"/>
    <sheet name="Original_Data" sheetId="1" r:id="rId2"/>
    <sheet name=" Cleaned_Data" sheetId="5" r:id="rId3"/>
    <sheet name="Dummy_variables" sheetId="7" r:id="rId4"/>
    <sheet name="Simple_Regression_Marketing" sheetId="3" r:id="rId5"/>
    <sheet name="Simple_Regression_Footfall" sheetId="4" r:id="rId6"/>
    <sheet name="Multiple_Regression" sheetId="6" r:id="rId7"/>
    <sheet name="Predictions_and_Residuals" sheetId="8" r:id="rId8"/>
    <sheet name="Model_Comparison" sheetId="9" r:id="rId9"/>
  </sheets>
  <definedNames>
    <definedName name="_xlnm._FilterDatabase" localSheetId="6" hidden="1">Multiple_Regression!#REF!</definedName>
    <definedName name="_xlnm._FilterDatabase" localSheetId="7" hidden="1">Predictions_and_Residuals!$J$5:$L$325</definedName>
  </definedNames>
  <calcPr calcId="152511"/>
</workbook>
</file>

<file path=xl/calcChain.xml><?xml version="1.0" encoding="utf-8"?>
<calcChain xmlns="http://schemas.openxmlformats.org/spreadsheetml/2006/main">
  <c r="T321" i="7" l="1"/>
  <c r="S321" i="7"/>
  <c r="R321" i="7"/>
  <c r="Q321" i="7"/>
  <c r="P321" i="7"/>
  <c r="O321" i="7"/>
  <c r="T320" i="7"/>
  <c r="S320" i="7"/>
  <c r="R320" i="7"/>
  <c r="Q320" i="7"/>
  <c r="P320" i="7"/>
  <c r="O320" i="7"/>
  <c r="T319" i="7"/>
  <c r="S319" i="7"/>
  <c r="R319" i="7"/>
  <c r="Q319" i="7"/>
  <c r="P319" i="7"/>
  <c r="O319" i="7"/>
  <c r="T318" i="7"/>
  <c r="S318" i="7"/>
  <c r="R318" i="7"/>
  <c r="Q318" i="7"/>
  <c r="P318" i="7"/>
  <c r="O318" i="7"/>
  <c r="T317" i="7"/>
  <c r="S317" i="7"/>
  <c r="R317" i="7"/>
  <c r="Q317" i="7"/>
  <c r="P317" i="7"/>
  <c r="O317" i="7"/>
  <c r="T316" i="7"/>
  <c r="S316" i="7"/>
  <c r="R316" i="7"/>
  <c r="Q316" i="7"/>
  <c r="P316" i="7"/>
  <c r="O316" i="7"/>
  <c r="T315" i="7"/>
  <c r="S315" i="7"/>
  <c r="R315" i="7"/>
  <c r="Q315" i="7"/>
  <c r="P315" i="7"/>
  <c r="O315" i="7"/>
  <c r="T314" i="7"/>
  <c r="S314" i="7"/>
  <c r="R314" i="7"/>
  <c r="Q314" i="7"/>
  <c r="P314" i="7"/>
  <c r="O314" i="7"/>
  <c r="T313" i="7"/>
  <c r="S313" i="7"/>
  <c r="R313" i="7"/>
  <c r="Q313" i="7"/>
  <c r="P313" i="7"/>
  <c r="O313" i="7"/>
  <c r="T312" i="7"/>
  <c r="S312" i="7"/>
  <c r="R312" i="7"/>
  <c r="Q312" i="7"/>
  <c r="P312" i="7"/>
  <c r="O312" i="7"/>
  <c r="T311" i="7"/>
  <c r="S311" i="7"/>
  <c r="R311" i="7"/>
  <c r="Q311" i="7"/>
  <c r="P311" i="7"/>
  <c r="O311" i="7"/>
  <c r="T310" i="7"/>
  <c r="S310" i="7"/>
  <c r="R310" i="7"/>
  <c r="Q310" i="7"/>
  <c r="P310" i="7"/>
  <c r="O310" i="7"/>
  <c r="T309" i="7"/>
  <c r="S309" i="7"/>
  <c r="R309" i="7"/>
  <c r="Q309" i="7"/>
  <c r="P309" i="7"/>
  <c r="O309" i="7"/>
  <c r="T308" i="7"/>
  <c r="S308" i="7"/>
  <c r="R308" i="7"/>
  <c r="Q308" i="7"/>
  <c r="P308" i="7"/>
  <c r="O308" i="7"/>
  <c r="T307" i="7"/>
  <c r="S307" i="7"/>
  <c r="R307" i="7"/>
  <c r="Q307" i="7"/>
  <c r="P307" i="7"/>
  <c r="O307" i="7"/>
  <c r="T306" i="7"/>
  <c r="S306" i="7"/>
  <c r="R306" i="7"/>
  <c r="Q306" i="7"/>
  <c r="P306" i="7"/>
  <c r="O306" i="7"/>
  <c r="T305" i="7"/>
  <c r="S305" i="7"/>
  <c r="R305" i="7"/>
  <c r="Q305" i="7"/>
  <c r="P305" i="7"/>
  <c r="O305" i="7"/>
  <c r="T304" i="7"/>
  <c r="S304" i="7"/>
  <c r="R304" i="7"/>
  <c r="Q304" i="7"/>
  <c r="P304" i="7"/>
  <c r="O304" i="7"/>
  <c r="T303" i="7"/>
  <c r="S303" i="7"/>
  <c r="R303" i="7"/>
  <c r="Q303" i="7"/>
  <c r="P303" i="7"/>
  <c r="O303" i="7"/>
  <c r="T302" i="7"/>
  <c r="S302" i="7"/>
  <c r="R302" i="7"/>
  <c r="Q302" i="7"/>
  <c r="P302" i="7"/>
  <c r="O302" i="7"/>
  <c r="T301" i="7"/>
  <c r="S301" i="7"/>
  <c r="R301" i="7"/>
  <c r="Q301" i="7"/>
  <c r="P301" i="7"/>
  <c r="O301" i="7"/>
  <c r="T300" i="7"/>
  <c r="S300" i="7"/>
  <c r="R300" i="7"/>
  <c r="Q300" i="7"/>
  <c r="P300" i="7"/>
  <c r="O300" i="7"/>
  <c r="T299" i="7"/>
  <c r="S299" i="7"/>
  <c r="R299" i="7"/>
  <c r="Q299" i="7"/>
  <c r="P299" i="7"/>
  <c r="O299" i="7"/>
  <c r="T298" i="7"/>
  <c r="S298" i="7"/>
  <c r="R298" i="7"/>
  <c r="Q298" i="7"/>
  <c r="P298" i="7"/>
  <c r="O298" i="7"/>
  <c r="T297" i="7"/>
  <c r="S297" i="7"/>
  <c r="R297" i="7"/>
  <c r="Q297" i="7"/>
  <c r="P297" i="7"/>
  <c r="O297" i="7"/>
  <c r="T296" i="7"/>
  <c r="S296" i="7"/>
  <c r="R296" i="7"/>
  <c r="Q296" i="7"/>
  <c r="P296" i="7"/>
  <c r="O296" i="7"/>
  <c r="T295" i="7"/>
  <c r="S295" i="7"/>
  <c r="R295" i="7"/>
  <c r="Q295" i="7"/>
  <c r="P295" i="7"/>
  <c r="O295" i="7"/>
  <c r="T294" i="7"/>
  <c r="S294" i="7"/>
  <c r="R294" i="7"/>
  <c r="Q294" i="7"/>
  <c r="P294" i="7"/>
  <c r="O294" i="7"/>
  <c r="T293" i="7"/>
  <c r="S293" i="7"/>
  <c r="R293" i="7"/>
  <c r="Q293" i="7"/>
  <c r="P293" i="7"/>
  <c r="O293" i="7"/>
  <c r="T292" i="7"/>
  <c r="S292" i="7"/>
  <c r="R292" i="7"/>
  <c r="Q292" i="7"/>
  <c r="P292" i="7"/>
  <c r="O292" i="7"/>
  <c r="T291" i="7"/>
  <c r="S291" i="7"/>
  <c r="R291" i="7"/>
  <c r="Q291" i="7"/>
  <c r="P291" i="7"/>
  <c r="O291" i="7"/>
  <c r="T290" i="7"/>
  <c r="S290" i="7"/>
  <c r="R290" i="7"/>
  <c r="Q290" i="7"/>
  <c r="P290" i="7"/>
  <c r="O290" i="7"/>
  <c r="T289" i="7"/>
  <c r="S289" i="7"/>
  <c r="R289" i="7"/>
  <c r="Q289" i="7"/>
  <c r="P289" i="7"/>
  <c r="O289" i="7"/>
  <c r="T288" i="7"/>
  <c r="S288" i="7"/>
  <c r="R288" i="7"/>
  <c r="Q288" i="7"/>
  <c r="P288" i="7"/>
  <c r="O288" i="7"/>
  <c r="T287" i="7"/>
  <c r="S287" i="7"/>
  <c r="R287" i="7"/>
  <c r="Q287" i="7"/>
  <c r="P287" i="7"/>
  <c r="O287" i="7"/>
  <c r="T286" i="7"/>
  <c r="S286" i="7"/>
  <c r="R286" i="7"/>
  <c r="Q286" i="7"/>
  <c r="P286" i="7"/>
  <c r="O286" i="7"/>
  <c r="T285" i="7"/>
  <c r="S285" i="7"/>
  <c r="R285" i="7"/>
  <c r="Q285" i="7"/>
  <c r="P285" i="7"/>
  <c r="O285" i="7"/>
  <c r="T284" i="7"/>
  <c r="S284" i="7"/>
  <c r="R284" i="7"/>
  <c r="Q284" i="7"/>
  <c r="P284" i="7"/>
  <c r="O284" i="7"/>
  <c r="T283" i="7"/>
  <c r="S283" i="7"/>
  <c r="R283" i="7"/>
  <c r="Q283" i="7"/>
  <c r="P283" i="7"/>
  <c r="O283" i="7"/>
  <c r="T282" i="7"/>
  <c r="S282" i="7"/>
  <c r="R282" i="7"/>
  <c r="Q282" i="7"/>
  <c r="P282" i="7"/>
  <c r="O282" i="7"/>
  <c r="T281" i="7"/>
  <c r="S281" i="7"/>
  <c r="R281" i="7"/>
  <c r="Q281" i="7"/>
  <c r="P281" i="7"/>
  <c r="O281" i="7"/>
  <c r="T280" i="7"/>
  <c r="S280" i="7"/>
  <c r="R280" i="7"/>
  <c r="Q280" i="7"/>
  <c r="P280" i="7"/>
  <c r="O280" i="7"/>
  <c r="T279" i="7"/>
  <c r="S279" i="7"/>
  <c r="R279" i="7"/>
  <c r="Q279" i="7"/>
  <c r="P279" i="7"/>
  <c r="O279" i="7"/>
  <c r="T278" i="7"/>
  <c r="S278" i="7"/>
  <c r="R278" i="7"/>
  <c r="Q278" i="7"/>
  <c r="P278" i="7"/>
  <c r="O278" i="7"/>
  <c r="T277" i="7"/>
  <c r="S277" i="7"/>
  <c r="R277" i="7"/>
  <c r="Q277" i="7"/>
  <c r="P277" i="7"/>
  <c r="O277" i="7"/>
  <c r="T276" i="7"/>
  <c r="S276" i="7"/>
  <c r="R276" i="7"/>
  <c r="Q276" i="7"/>
  <c r="P276" i="7"/>
  <c r="O276" i="7"/>
  <c r="T275" i="7"/>
  <c r="S275" i="7"/>
  <c r="R275" i="7"/>
  <c r="Q275" i="7"/>
  <c r="P275" i="7"/>
  <c r="O275" i="7"/>
  <c r="T274" i="7"/>
  <c r="S274" i="7"/>
  <c r="R274" i="7"/>
  <c r="Q274" i="7"/>
  <c r="P274" i="7"/>
  <c r="O274" i="7"/>
  <c r="T273" i="7"/>
  <c r="S273" i="7"/>
  <c r="R273" i="7"/>
  <c r="Q273" i="7"/>
  <c r="P273" i="7"/>
  <c r="O273" i="7"/>
  <c r="T272" i="7"/>
  <c r="S272" i="7"/>
  <c r="R272" i="7"/>
  <c r="Q272" i="7"/>
  <c r="P272" i="7"/>
  <c r="O272" i="7"/>
  <c r="T271" i="7"/>
  <c r="S271" i="7"/>
  <c r="R271" i="7"/>
  <c r="Q271" i="7"/>
  <c r="P271" i="7"/>
  <c r="O271" i="7"/>
  <c r="T270" i="7"/>
  <c r="S270" i="7"/>
  <c r="R270" i="7"/>
  <c r="Q270" i="7"/>
  <c r="P270" i="7"/>
  <c r="O270" i="7"/>
  <c r="T269" i="7"/>
  <c r="S269" i="7"/>
  <c r="R269" i="7"/>
  <c r="Q269" i="7"/>
  <c r="P269" i="7"/>
  <c r="O269" i="7"/>
  <c r="T268" i="7"/>
  <c r="S268" i="7"/>
  <c r="R268" i="7"/>
  <c r="Q268" i="7"/>
  <c r="P268" i="7"/>
  <c r="O268" i="7"/>
  <c r="T267" i="7"/>
  <c r="S267" i="7"/>
  <c r="R267" i="7"/>
  <c r="Q267" i="7"/>
  <c r="P267" i="7"/>
  <c r="O267" i="7"/>
  <c r="T266" i="7"/>
  <c r="S266" i="7"/>
  <c r="R266" i="7"/>
  <c r="Q266" i="7"/>
  <c r="P266" i="7"/>
  <c r="O266" i="7"/>
  <c r="T265" i="7"/>
  <c r="S265" i="7"/>
  <c r="R265" i="7"/>
  <c r="Q265" i="7"/>
  <c r="P265" i="7"/>
  <c r="O265" i="7"/>
  <c r="T264" i="7"/>
  <c r="S264" i="7"/>
  <c r="R264" i="7"/>
  <c r="Q264" i="7"/>
  <c r="P264" i="7"/>
  <c r="O264" i="7"/>
  <c r="T263" i="7"/>
  <c r="S263" i="7"/>
  <c r="R263" i="7"/>
  <c r="Q263" i="7"/>
  <c r="P263" i="7"/>
  <c r="O263" i="7"/>
  <c r="T262" i="7"/>
  <c r="S262" i="7"/>
  <c r="R262" i="7"/>
  <c r="Q262" i="7"/>
  <c r="P262" i="7"/>
  <c r="O262" i="7"/>
  <c r="T261" i="7"/>
  <c r="S261" i="7"/>
  <c r="R261" i="7"/>
  <c r="Q261" i="7"/>
  <c r="P261" i="7"/>
  <c r="O261" i="7"/>
  <c r="T260" i="7"/>
  <c r="S260" i="7"/>
  <c r="R260" i="7"/>
  <c r="Q260" i="7"/>
  <c r="P260" i="7"/>
  <c r="O260" i="7"/>
  <c r="T259" i="7"/>
  <c r="S259" i="7"/>
  <c r="R259" i="7"/>
  <c r="Q259" i="7"/>
  <c r="P259" i="7"/>
  <c r="O259" i="7"/>
  <c r="T258" i="7"/>
  <c r="S258" i="7"/>
  <c r="R258" i="7"/>
  <c r="Q258" i="7"/>
  <c r="P258" i="7"/>
  <c r="O258" i="7"/>
  <c r="T257" i="7"/>
  <c r="S257" i="7"/>
  <c r="R257" i="7"/>
  <c r="Q257" i="7"/>
  <c r="P257" i="7"/>
  <c r="O257" i="7"/>
  <c r="T256" i="7"/>
  <c r="S256" i="7"/>
  <c r="R256" i="7"/>
  <c r="Q256" i="7"/>
  <c r="P256" i="7"/>
  <c r="O256" i="7"/>
  <c r="T255" i="7"/>
  <c r="S255" i="7"/>
  <c r="R255" i="7"/>
  <c r="Q255" i="7"/>
  <c r="P255" i="7"/>
  <c r="O255" i="7"/>
  <c r="T254" i="7"/>
  <c r="S254" i="7"/>
  <c r="R254" i="7"/>
  <c r="Q254" i="7"/>
  <c r="P254" i="7"/>
  <c r="O254" i="7"/>
  <c r="T253" i="7"/>
  <c r="S253" i="7"/>
  <c r="R253" i="7"/>
  <c r="Q253" i="7"/>
  <c r="P253" i="7"/>
  <c r="O253" i="7"/>
  <c r="T252" i="7"/>
  <c r="S252" i="7"/>
  <c r="R252" i="7"/>
  <c r="Q252" i="7"/>
  <c r="P252" i="7"/>
  <c r="O252" i="7"/>
  <c r="T251" i="7"/>
  <c r="S251" i="7"/>
  <c r="R251" i="7"/>
  <c r="Q251" i="7"/>
  <c r="P251" i="7"/>
  <c r="O251" i="7"/>
  <c r="T250" i="7"/>
  <c r="S250" i="7"/>
  <c r="R250" i="7"/>
  <c r="Q250" i="7"/>
  <c r="P250" i="7"/>
  <c r="O250" i="7"/>
  <c r="T249" i="7"/>
  <c r="S249" i="7"/>
  <c r="R249" i="7"/>
  <c r="Q249" i="7"/>
  <c r="P249" i="7"/>
  <c r="O249" i="7"/>
  <c r="T248" i="7"/>
  <c r="S248" i="7"/>
  <c r="R248" i="7"/>
  <c r="Q248" i="7"/>
  <c r="P248" i="7"/>
  <c r="O248" i="7"/>
  <c r="T247" i="7"/>
  <c r="S247" i="7"/>
  <c r="R247" i="7"/>
  <c r="Q247" i="7"/>
  <c r="P247" i="7"/>
  <c r="O247" i="7"/>
  <c r="T246" i="7"/>
  <c r="S246" i="7"/>
  <c r="R246" i="7"/>
  <c r="Q246" i="7"/>
  <c r="P246" i="7"/>
  <c r="O246" i="7"/>
  <c r="T245" i="7"/>
  <c r="S245" i="7"/>
  <c r="R245" i="7"/>
  <c r="Q245" i="7"/>
  <c r="P245" i="7"/>
  <c r="O245" i="7"/>
  <c r="T244" i="7"/>
  <c r="S244" i="7"/>
  <c r="R244" i="7"/>
  <c r="Q244" i="7"/>
  <c r="P244" i="7"/>
  <c r="O244" i="7"/>
  <c r="T243" i="7"/>
  <c r="S243" i="7"/>
  <c r="R243" i="7"/>
  <c r="Q243" i="7"/>
  <c r="P243" i="7"/>
  <c r="O243" i="7"/>
  <c r="T242" i="7"/>
  <c r="S242" i="7"/>
  <c r="R242" i="7"/>
  <c r="Q242" i="7"/>
  <c r="P242" i="7"/>
  <c r="O242" i="7"/>
  <c r="T241" i="7"/>
  <c r="S241" i="7"/>
  <c r="R241" i="7"/>
  <c r="Q241" i="7"/>
  <c r="P241" i="7"/>
  <c r="O241" i="7"/>
  <c r="T240" i="7"/>
  <c r="S240" i="7"/>
  <c r="R240" i="7"/>
  <c r="Q240" i="7"/>
  <c r="P240" i="7"/>
  <c r="O240" i="7"/>
  <c r="T239" i="7"/>
  <c r="S239" i="7"/>
  <c r="R239" i="7"/>
  <c r="Q239" i="7"/>
  <c r="P239" i="7"/>
  <c r="O239" i="7"/>
  <c r="T238" i="7"/>
  <c r="S238" i="7"/>
  <c r="R238" i="7"/>
  <c r="Q238" i="7"/>
  <c r="P238" i="7"/>
  <c r="O238" i="7"/>
  <c r="T237" i="7"/>
  <c r="S237" i="7"/>
  <c r="R237" i="7"/>
  <c r="Q237" i="7"/>
  <c r="P237" i="7"/>
  <c r="O237" i="7"/>
  <c r="T236" i="7"/>
  <c r="S236" i="7"/>
  <c r="R236" i="7"/>
  <c r="Q236" i="7"/>
  <c r="P236" i="7"/>
  <c r="O236" i="7"/>
  <c r="T235" i="7"/>
  <c r="S235" i="7"/>
  <c r="R235" i="7"/>
  <c r="Q235" i="7"/>
  <c r="P235" i="7"/>
  <c r="O235" i="7"/>
  <c r="T234" i="7"/>
  <c r="S234" i="7"/>
  <c r="R234" i="7"/>
  <c r="Q234" i="7"/>
  <c r="P234" i="7"/>
  <c r="O234" i="7"/>
  <c r="T233" i="7"/>
  <c r="S233" i="7"/>
  <c r="R233" i="7"/>
  <c r="Q233" i="7"/>
  <c r="P233" i="7"/>
  <c r="O233" i="7"/>
  <c r="T232" i="7"/>
  <c r="S232" i="7"/>
  <c r="R232" i="7"/>
  <c r="Q232" i="7"/>
  <c r="P232" i="7"/>
  <c r="O232" i="7"/>
  <c r="T231" i="7"/>
  <c r="S231" i="7"/>
  <c r="R231" i="7"/>
  <c r="Q231" i="7"/>
  <c r="P231" i="7"/>
  <c r="O231" i="7"/>
  <c r="T230" i="7"/>
  <c r="S230" i="7"/>
  <c r="R230" i="7"/>
  <c r="Q230" i="7"/>
  <c r="P230" i="7"/>
  <c r="O230" i="7"/>
  <c r="T229" i="7"/>
  <c r="S229" i="7"/>
  <c r="R229" i="7"/>
  <c r="Q229" i="7"/>
  <c r="P229" i="7"/>
  <c r="O229" i="7"/>
  <c r="T228" i="7"/>
  <c r="S228" i="7"/>
  <c r="R228" i="7"/>
  <c r="Q228" i="7"/>
  <c r="P228" i="7"/>
  <c r="O228" i="7"/>
  <c r="T227" i="7"/>
  <c r="S227" i="7"/>
  <c r="R227" i="7"/>
  <c r="Q227" i="7"/>
  <c r="P227" i="7"/>
  <c r="O227" i="7"/>
  <c r="T226" i="7"/>
  <c r="S226" i="7"/>
  <c r="R226" i="7"/>
  <c r="Q226" i="7"/>
  <c r="P226" i="7"/>
  <c r="O226" i="7"/>
  <c r="T225" i="7"/>
  <c r="S225" i="7"/>
  <c r="R225" i="7"/>
  <c r="Q225" i="7"/>
  <c r="P225" i="7"/>
  <c r="O225" i="7"/>
  <c r="T224" i="7"/>
  <c r="S224" i="7"/>
  <c r="R224" i="7"/>
  <c r="Q224" i="7"/>
  <c r="P224" i="7"/>
  <c r="O224" i="7"/>
  <c r="T223" i="7"/>
  <c r="S223" i="7"/>
  <c r="R223" i="7"/>
  <c r="Q223" i="7"/>
  <c r="P223" i="7"/>
  <c r="O223" i="7"/>
  <c r="T222" i="7"/>
  <c r="S222" i="7"/>
  <c r="R222" i="7"/>
  <c r="Q222" i="7"/>
  <c r="P222" i="7"/>
  <c r="O222" i="7"/>
  <c r="T221" i="7"/>
  <c r="S221" i="7"/>
  <c r="R221" i="7"/>
  <c r="Q221" i="7"/>
  <c r="P221" i="7"/>
  <c r="O221" i="7"/>
  <c r="T220" i="7"/>
  <c r="S220" i="7"/>
  <c r="R220" i="7"/>
  <c r="Q220" i="7"/>
  <c r="P220" i="7"/>
  <c r="O220" i="7"/>
  <c r="T219" i="7"/>
  <c r="S219" i="7"/>
  <c r="R219" i="7"/>
  <c r="Q219" i="7"/>
  <c r="P219" i="7"/>
  <c r="O219" i="7"/>
  <c r="T218" i="7"/>
  <c r="S218" i="7"/>
  <c r="R218" i="7"/>
  <c r="Q218" i="7"/>
  <c r="P218" i="7"/>
  <c r="O218" i="7"/>
  <c r="T217" i="7"/>
  <c r="S217" i="7"/>
  <c r="R217" i="7"/>
  <c r="Q217" i="7"/>
  <c r="P217" i="7"/>
  <c r="O217" i="7"/>
  <c r="T216" i="7"/>
  <c r="S216" i="7"/>
  <c r="R216" i="7"/>
  <c r="Q216" i="7"/>
  <c r="P216" i="7"/>
  <c r="O216" i="7"/>
  <c r="T215" i="7"/>
  <c r="S215" i="7"/>
  <c r="R215" i="7"/>
  <c r="Q215" i="7"/>
  <c r="P215" i="7"/>
  <c r="O215" i="7"/>
  <c r="T214" i="7"/>
  <c r="S214" i="7"/>
  <c r="R214" i="7"/>
  <c r="Q214" i="7"/>
  <c r="P214" i="7"/>
  <c r="O214" i="7"/>
  <c r="T213" i="7"/>
  <c r="S213" i="7"/>
  <c r="R213" i="7"/>
  <c r="Q213" i="7"/>
  <c r="P213" i="7"/>
  <c r="O213" i="7"/>
  <c r="T212" i="7"/>
  <c r="S212" i="7"/>
  <c r="R212" i="7"/>
  <c r="Q212" i="7"/>
  <c r="P212" i="7"/>
  <c r="O212" i="7"/>
  <c r="T211" i="7"/>
  <c r="S211" i="7"/>
  <c r="R211" i="7"/>
  <c r="Q211" i="7"/>
  <c r="P211" i="7"/>
  <c r="O211" i="7"/>
  <c r="T210" i="7"/>
  <c r="S210" i="7"/>
  <c r="R210" i="7"/>
  <c r="Q210" i="7"/>
  <c r="P210" i="7"/>
  <c r="O210" i="7"/>
  <c r="T209" i="7"/>
  <c r="S209" i="7"/>
  <c r="R209" i="7"/>
  <c r="Q209" i="7"/>
  <c r="P209" i="7"/>
  <c r="O209" i="7"/>
  <c r="T208" i="7"/>
  <c r="S208" i="7"/>
  <c r="R208" i="7"/>
  <c r="Q208" i="7"/>
  <c r="P208" i="7"/>
  <c r="O208" i="7"/>
  <c r="T207" i="7"/>
  <c r="S207" i="7"/>
  <c r="R207" i="7"/>
  <c r="Q207" i="7"/>
  <c r="P207" i="7"/>
  <c r="O207" i="7"/>
  <c r="T206" i="7"/>
  <c r="S206" i="7"/>
  <c r="R206" i="7"/>
  <c r="Q206" i="7"/>
  <c r="P206" i="7"/>
  <c r="O206" i="7"/>
  <c r="T205" i="7"/>
  <c r="S205" i="7"/>
  <c r="R205" i="7"/>
  <c r="Q205" i="7"/>
  <c r="P205" i="7"/>
  <c r="O205" i="7"/>
  <c r="T204" i="7"/>
  <c r="S204" i="7"/>
  <c r="R204" i="7"/>
  <c r="Q204" i="7"/>
  <c r="P204" i="7"/>
  <c r="O204" i="7"/>
  <c r="T203" i="7"/>
  <c r="S203" i="7"/>
  <c r="R203" i="7"/>
  <c r="Q203" i="7"/>
  <c r="P203" i="7"/>
  <c r="O203" i="7"/>
  <c r="T202" i="7"/>
  <c r="S202" i="7"/>
  <c r="R202" i="7"/>
  <c r="Q202" i="7"/>
  <c r="P202" i="7"/>
  <c r="O202" i="7"/>
  <c r="T201" i="7"/>
  <c r="S201" i="7"/>
  <c r="R201" i="7"/>
  <c r="Q201" i="7"/>
  <c r="P201" i="7"/>
  <c r="O201" i="7"/>
  <c r="T200" i="7"/>
  <c r="S200" i="7"/>
  <c r="R200" i="7"/>
  <c r="Q200" i="7"/>
  <c r="P200" i="7"/>
  <c r="O200" i="7"/>
  <c r="T199" i="7"/>
  <c r="S199" i="7"/>
  <c r="R199" i="7"/>
  <c r="Q199" i="7"/>
  <c r="P199" i="7"/>
  <c r="O199" i="7"/>
  <c r="T198" i="7"/>
  <c r="S198" i="7"/>
  <c r="R198" i="7"/>
  <c r="Q198" i="7"/>
  <c r="P198" i="7"/>
  <c r="O198" i="7"/>
  <c r="T197" i="7"/>
  <c r="S197" i="7"/>
  <c r="R197" i="7"/>
  <c r="Q197" i="7"/>
  <c r="P197" i="7"/>
  <c r="O197" i="7"/>
  <c r="T196" i="7"/>
  <c r="S196" i="7"/>
  <c r="R196" i="7"/>
  <c r="Q196" i="7"/>
  <c r="P196" i="7"/>
  <c r="O196" i="7"/>
  <c r="T195" i="7"/>
  <c r="S195" i="7"/>
  <c r="R195" i="7"/>
  <c r="Q195" i="7"/>
  <c r="P195" i="7"/>
  <c r="O195" i="7"/>
  <c r="T194" i="7"/>
  <c r="S194" i="7"/>
  <c r="R194" i="7"/>
  <c r="Q194" i="7"/>
  <c r="P194" i="7"/>
  <c r="O194" i="7"/>
  <c r="T193" i="7"/>
  <c r="S193" i="7"/>
  <c r="R193" i="7"/>
  <c r="Q193" i="7"/>
  <c r="P193" i="7"/>
  <c r="O193" i="7"/>
  <c r="T192" i="7"/>
  <c r="S192" i="7"/>
  <c r="R192" i="7"/>
  <c r="Q192" i="7"/>
  <c r="P192" i="7"/>
  <c r="O192" i="7"/>
  <c r="T191" i="7"/>
  <c r="S191" i="7"/>
  <c r="R191" i="7"/>
  <c r="Q191" i="7"/>
  <c r="P191" i="7"/>
  <c r="O191" i="7"/>
  <c r="T190" i="7"/>
  <c r="S190" i="7"/>
  <c r="R190" i="7"/>
  <c r="Q190" i="7"/>
  <c r="P190" i="7"/>
  <c r="O190" i="7"/>
  <c r="T189" i="7"/>
  <c r="S189" i="7"/>
  <c r="R189" i="7"/>
  <c r="Q189" i="7"/>
  <c r="P189" i="7"/>
  <c r="O189" i="7"/>
  <c r="T188" i="7"/>
  <c r="S188" i="7"/>
  <c r="R188" i="7"/>
  <c r="Q188" i="7"/>
  <c r="P188" i="7"/>
  <c r="O188" i="7"/>
  <c r="T187" i="7"/>
  <c r="S187" i="7"/>
  <c r="R187" i="7"/>
  <c r="Q187" i="7"/>
  <c r="P187" i="7"/>
  <c r="O187" i="7"/>
  <c r="T186" i="7"/>
  <c r="S186" i="7"/>
  <c r="R186" i="7"/>
  <c r="Q186" i="7"/>
  <c r="P186" i="7"/>
  <c r="O186" i="7"/>
  <c r="T185" i="7"/>
  <c r="S185" i="7"/>
  <c r="R185" i="7"/>
  <c r="Q185" i="7"/>
  <c r="P185" i="7"/>
  <c r="O185" i="7"/>
  <c r="T184" i="7"/>
  <c r="S184" i="7"/>
  <c r="R184" i="7"/>
  <c r="Q184" i="7"/>
  <c r="P184" i="7"/>
  <c r="O184" i="7"/>
  <c r="T183" i="7"/>
  <c r="S183" i="7"/>
  <c r="R183" i="7"/>
  <c r="Q183" i="7"/>
  <c r="P183" i="7"/>
  <c r="O183" i="7"/>
  <c r="T182" i="7"/>
  <c r="S182" i="7"/>
  <c r="R182" i="7"/>
  <c r="Q182" i="7"/>
  <c r="P182" i="7"/>
  <c r="O182" i="7"/>
  <c r="T181" i="7"/>
  <c r="S181" i="7"/>
  <c r="R181" i="7"/>
  <c r="Q181" i="7"/>
  <c r="P181" i="7"/>
  <c r="O181" i="7"/>
  <c r="T180" i="7"/>
  <c r="S180" i="7"/>
  <c r="R180" i="7"/>
  <c r="Q180" i="7"/>
  <c r="P180" i="7"/>
  <c r="O180" i="7"/>
  <c r="T179" i="7"/>
  <c r="S179" i="7"/>
  <c r="R179" i="7"/>
  <c r="Q179" i="7"/>
  <c r="P179" i="7"/>
  <c r="O179" i="7"/>
  <c r="T178" i="7"/>
  <c r="S178" i="7"/>
  <c r="R178" i="7"/>
  <c r="Q178" i="7"/>
  <c r="P178" i="7"/>
  <c r="O178" i="7"/>
  <c r="T177" i="7"/>
  <c r="S177" i="7"/>
  <c r="R177" i="7"/>
  <c r="Q177" i="7"/>
  <c r="P177" i="7"/>
  <c r="O177" i="7"/>
  <c r="T176" i="7"/>
  <c r="S176" i="7"/>
  <c r="R176" i="7"/>
  <c r="Q176" i="7"/>
  <c r="P176" i="7"/>
  <c r="O176" i="7"/>
  <c r="T175" i="7"/>
  <c r="S175" i="7"/>
  <c r="R175" i="7"/>
  <c r="Q175" i="7"/>
  <c r="P175" i="7"/>
  <c r="O175" i="7"/>
  <c r="T174" i="7"/>
  <c r="S174" i="7"/>
  <c r="R174" i="7"/>
  <c r="Q174" i="7"/>
  <c r="P174" i="7"/>
  <c r="O174" i="7"/>
  <c r="T173" i="7"/>
  <c r="S173" i="7"/>
  <c r="R173" i="7"/>
  <c r="Q173" i="7"/>
  <c r="P173" i="7"/>
  <c r="O173" i="7"/>
  <c r="T172" i="7"/>
  <c r="S172" i="7"/>
  <c r="R172" i="7"/>
  <c r="Q172" i="7"/>
  <c r="P172" i="7"/>
  <c r="O172" i="7"/>
  <c r="T171" i="7"/>
  <c r="S171" i="7"/>
  <c r="R171" i="7"/>
  <c r="Q171" i="7"/>
  <c r="P171" i="7"/>
  <c r="O171" i="7"/>
  <c r="T170" i="7"/>
  <c r="S170" i="7"/>
  <c r="R170" i="7"/>
  <c r="Q170" i="7"/>
  <c r="P170" i="7"/>
  <c r="O170" i="7"/>
  <c r="T169" i="7"/>
  <c r="S169" i="7"/>
  <c r="R169" i="7"/>
  <c r="Q169" i="7"/>
  <c r="P169" i="7"/>
  <c r="O169" i="7"/>
  <c r="T168" i="7"/>
  <c r="S168" i="7"/>
  <c r="R168" i="7"/>
  <c r="Q168" i="7"/>
  <c r="P168" i="7"/>
  <c r="O168" i="7"/>
  <c r="T167" i="7"/>
  <c r="S167" i="7"/>
  <c r="R167" i="7"/>
  <c r="Q167" i="7"/>
  <c r="P167" i="7"/>
  <c r="O167" i="7"/>
  <c r="T166" i="7"/>
  <c r="S166" i="7"/>
  <c r="R166" i="7"/>
  <c r="Q166" i="7"/>
  <c r="P166" i="7"/>
  <c r="O166" i="7"/>
  <c r="T165" i="7"/>
  <c r="S165" i="7"/>
  <c r="R165" i="7"/>
  <c r="Q165" i="7"/>
  <c r="P165" i="7"/>
  <c r="O165" i="7"/>
  <c r="T164" i="7"/>
  <c r="S164" i="7"/>
  <c r="R164" i="7"/>
  <c r="Q164" i="7"/>
  <c r="P164" i="7"/>
  <c r="O164" i="7"/>
  <c r="T163" i="7"/>
  <c r="S163" i="7"/>
  <c r="R163" i="7"/>
  <c r="Q163" i="7"/>
  <c r="P163" i="7"/>
  <c r="O163" i="7"/>
  <c r="T162" i="7"/>
  <c r="S162" i="7"/>
  <c r="R162" i="7"/>
  <c r="Q162" i="7"/>
  <c r="P162" i="7"/>
  <c r="O162" i="7"/>
  <c r="T161" i="7"/>
  <c r="S161" i="7"/>
  <c r="R161" i="7"/>
  <c r="Q161" i="7"/>
  <c r="P161" i="7"/>
  <c r="O161" i="7"/>
  <c r="T160" i="7"/>
  <c r="S160" i="7"/>
  <c r="R160" i="7"/>
  <c r="Q160" i="7"/>
  <c r="P160" i="7"/>
  <c r="O160" i="7"/>
  <c r="T159" i="7"/>
  <c r="S159" i="7"/>
  <c r="R159" i="7"/>
  <c r="Q159" i="7"/>
  <c r="P159" i="7"/>
  <c r="O159" i="7"/>
  <c r="T158" i="7"/>
  <c r="S158" i="7"/>
  <c r="R158" i="7"/>
  <c r="Q158" i="7"/>
  <c r="P158" i="7"/>
  <c r="O158" i="7"/>
  <c r="T157" i="7"/>
  <c r="S157" i="7"/>
  <c r="R157" i="7"/>
  <c r="Q157" i="7"/>
  <c r="P157" i="7"/>
  <c r="O157" i="7"/>
  <c r="T156" i="7"/>
  <c r="S156" i="7"/>
  <c r="R156" i="7"/>
  <c r="Q156" i="7"/>
  <c r="P156" i="7"/>
  <c r="O156" i="7"/>
  <c r="T155" i="7"/>
  <c r="S155" i="7"/>
  <c r="R155" i="7"/>
  <c r="Q155" i="7"/>
  <c r="P155" i="7"/>
  <c r="O155" i="7"/>
  <c r="T154" i="7"/>
  <c r="S154" i="7"/>
  <c r="R154" i="7"/>
  <c r="Q154" i="7"/>
  <c r="P154" i="7"/>
  <c r="O154" i="7"/>
  <c r="T153" i="7"/>
  <c r="S153" i="7"/>
  <c r="R153" i="7"/>
  <c r="Q153" i="7"/>
  <c r="P153" i="7"/>
  <c r="O153" i="7"/>
  <c r="T152" i="7"/>
  <c r="S152" i="7"/>
  <c r="R152" i="7"/>
  <c r="Q152" i="7"/>
  <c r="P152" i="7"/>
  <c r="O152" i="7"/>
  <c r="T151" i="7"/>
  <c r="S151" i="7"/>
  <c r="R151" i="7"/>
  <c r="Q151" i="7"/>
  <c r="P151" i="7"/>
  <c r="O151" i="7"/>
  <c r="T150" i="7"/>
  <c r="S150" i="7"/>
  <c r="R150" i="7"/>
  <c r="Q150" i="7"/>
  <c r="P150" i="7"/>
  <c r="O150" i="7"/>
  <c r="T149" i="7"/>
  <c r="S149" i="7"/>
  <c r="R149" i="7"/>
  <c r="Q149" i="7"/>
  <c r="P149" i="7"/>
  <c r="O149" i="7"/>
  <c r="T148" i="7"/>
  <c r="S148" i="7"/>
  <c r="R148" i="7"/>
  <c r="Q148" i="7"/>
  <c r="P148" i="7"/>
  <c r="O148" i="7"/>
  <c r="T147" i="7"/>
  <c r="S147" i="7"/>
  <c r="R147" i="7"/>
  <c r="Q147" i="7"/>
  <c r="P147" i="7"/>
  <c r="O147" i="7"/>
  <c r="T146" i="7"/>
  <c r="S146" i="7"/>
  <c r="R146" i="7"/>
  <c r="Q146" i="7"/>
  <c r="P146" i="7"/>
  <c r="O146" i="7"/>
  <c r="T145" i="7"/>
  <c r="S145" i="7"/>
  <c r="R145" i="7"/>
  <c r="Q145" i="7"/>
  <c r="P145" i="7"/>
  <c r="O145" i="7"/>
  <c r="T144" i="7"/>
  <c r="S144" i="7"/>
  <c r="R144" i="7"/>
  <c r="Q144" i="7"/>
  <c r="P144" i="7"/>
  <c r="O144" i="7"/>
  <c r="T143" i="7"/>
  <c r="S143" i="7"/>
  <c r="R143" i="7"/>
  <c r="Q143" i="7"/>
  <c r="P143" i="7"/>
  <c r="O143" i="7"/>
  <c r="T142" i="7"/>
  <c r="S142" i="7"/>
  <c r="R142" i="7"/>
  <c r="Q142" i="7"/>
  <c r="P142" i="7"/>
  <c r="O142" i="7"/>
  <c r="T141" i="7"/>
  <c r="S141" i="7"/>
  <c r="R141" i="7"/>
  <c r="Q141" i="7"/>
  <c r="P141" i="7"/>
  <c r="O141" i="7"/>
  <c r="T140" i="7"/>
  <c r="S140" i="7"/>
  <c r="R140" i="7"/>
  <c r="Q140" i="7"/>
  <c r="P140" i="7"/>
  <c r="O140" i="7"/>
  <c r="T139" i="7"/>
  <c r="S139" i="7"/>
  <c r="R139" i="7"/>
  <c r="Q139" i="7"/>
  <c r="P139" i="7"/>
  <c r="O139" i="7"/>
  <c r="T138" i="7"/>
  <c r="S138" i="7"/>
  <c r="R138" i="7"/>
  <c r="Q138" i="7"/>
  <c r="P138" i="7"/>
  <c r="O138" i="7"/>
  <c r="T137" i="7"/>
  <c r="S137" i="7"/>
  <c r="R137" i="7"/>
  <c r="Q137" i="7"/>
  <c r="P137" i="7"/>
  <c r="O137" i="7"/>
  <c r="T136" i="7"/>
  <c r="S136" i="7"/>
  <c r="R136" i="7"/>
  <c r="Q136" i="7"/>
  <c r="P136" i="7"/>
  <c r="O136" i="7"/>
  <c r="T135" i="7"/>
  <c r="S135" i="7"/>
  <c r="R135" i="7"/>
  <c r="Q135" i="7"/>
  <c r="P135" i="7"/>
  <c r="O135" i="7"/>
  <c r="T134" i="7"/>
  <c r="S134" i="7"/>
  <c r="R134" i="7"/>
  <c r="Q134" i="7"/>
  <c r="P134" i="7"/>
  <c r="O134" i="7"/>
  <c r="T133" i="7"/>
  <c r="S133" i="7"/>
  <c r="R133" i="7"/>
  <c r="Q133" i="7"/>
  <c r="P133" i="7"/>
  <c r="O133" i="7"/>
  <c r="T132" i="7"/>
  <c r="S132" i="7"/>
  <c r="R132" i="7"/>
  <c r="Q132" i="7"/>
  <c r="P132" i="7"/>
  <c r="O132" i="7"/>
  <c r="T131" i="7"/>
  <c r="S131" i="7"/>
  <c r="R131" i="7"/>
  <c r="Q131" i="7"/>
  <c r="P131" i="7"/>
  <c r="O131" i="7"/>
  <c r="T130" i="7"/>
  <c r="S130" i="7"/>
  <c r="R130" i="7"/>
  <c r="Q130" i="7"/>
  <c r="P130" i="7"/>
  <c r="O130" i="7"/>
  <c r="T129" i="7"/>
  <c r="S129" i="7"/>
  <c r="R129" i="7"/>
  <c r="Q129" i="7"/>
  <c r="P129" i="7"/>
  <c r="O129" i="7"/>
  <c r="T128" i="7"/>
  <c r="S128" i="7"/>
  <c r="R128" i="7"/>
  <c r="Q128" i="7"/>
  <c r="P128" i="7"/>
  <c r="O128" i="7"/>
  <c r="T127" i="7"/>
  <c r="S127" i="7"/>
  <c r="R127" i="7"/>
  <c r="Q127" i="7"/>
  <c r="P127" i="7"/>
  <c r="O127" i="7"/>
  <c r="T126" i="7"/>
  <c r="S126" i="7"/>
  <c r="R126" i="7"/>
  <c r="Q126" i="7"/>
  <c r="P126" i="7"/>
  <c r="O126" i="7"/>
  <c r="T125" i="7"/>
  <c r="S125" i="7"/>
  <c r="R125" i="7"/>
  <c r="Q125" i="7"/>
  <c r="P125" i="7"/>
  <c r="O125" i="7"/>
  <c r="T124" i="7"/>
  <c r="S124" i="7"/>
  <c r="R124" i="7"/>
  <c r="Q124" i="7"/>
  <c r="P124" i="7"/>
  <c r="O124" i="7"/>
  <c r="T123" i="7"/>
  <c r="S123" i="7"/>
  <c r="R123" i="7"/>
  <c r="Q123" i="7"/>
  <c r="P123" i="7"/>
  <c r="O123" i="7"/>
  <c r="T122" i="7"/>
  <c r="S122" i="7"/>
  <c r="R122" i="7"/>
  <c r="Q122" i="7"/>
  <c r="P122" i="7"/>
  <c r="O122" i="7"/>
  <c r="T121" i="7"/>
  <c r="S121" i="7"/>
  <c r="R121" i="7"/>
  <c r="Q121" i="7"/>
  <c r="P121" i="7"/>
  <c r="O121" i="7"/>
  <c r="T120" i="7"/>
  <c r="S120" i="7"/>
  <c r="R120" i="7"/>
  <c r="Q120" i="7"/>
  <c r="P120" i="7"/>
  <c r="O120" i="7"/>
  <c r="T119" i="7"/>
  <c r="S119" i="7"/>
  <c r="R119" i="7"/>
  <c r="Q119" i="7"/>
  <c r="P119" i="7"/>
  <c r="O119" i="7"/>
  <c r="T118" i="7"/>
  <c r="S118" i="7"/>
  <c r="R118" i="7"/>
  <c r="Q118" i="7"/>
  <c r="P118" i="7"/>
  <c r="O118" i="7"/>
  <c r="T117" i="7"/>
  <c r="S117" i="7"/>
  <c r="R117" i="7"/>
  <c r="Q117" i="7"/>
  <c r="P117" i="7"/>
  <c r="O117" i="7"/>
  <c r="T116" i="7"/>
  <c r="S116" i="7"/>
  <c r="R116" i="7"/>
  <c r="Q116" i="7"/>
  <c r="P116" i="7"/>
  <c r="O116" i="7"/>
  <c r="T115" i="7"/>
  <c r="S115" i="7"/>
  <c r="R115" i="7"/>
  <c r="Q115" i="7"/>
  <c r="P115" i="7"/>
  <c r="O115" i="7"/>
  <c r="T114" i="7"/>
  <c r="S114" i="7"/>
  <c r="R114" i="7"/>
  <c r="Q114" i="7"/>
  <c r="P114" i="7"/>
  <c r="O114" i="7"/>
  <c r="T113" i="7"/>
  <c r="S113" i="7"/>
  <c r="R113" i="7"/>
  <c r="Q113" i="7"/>
  <c r="P113" i="7"/>
  <c r="O113" i="7"/>
  <c r="T112" i="7"/>
  <c r="S112" i="7"/>
  <c r="R112" i="7"/>
  <c r="Q112" i="7"/>
  <c r="P112" i="7"/>
  <c r="O112" i="7"/>
  <c r="T111" i="7"/>
  <c r="S111" i="7"/>
  <c r="R111" i="7"/>
  <c r="Q111" i="7"/>
  <c r="P111" i="7"/>
  <c r="O111" i="7"/>
  <c r="T110" i="7"/>
  <c r="S110" i="7"/>
  <c r="R110" i="7"/>
  <c r="Q110" i="7"/>
  <c r="P110" i="7"/>
  <c r="O110" i="7"/>
  <c r="T109" i="7"/>
  <c r="S109" i="7"/>
  <c r="R109" i="7"/>
  <c r="Q109" i="7"/>
  <c r="P109" i="7"/>
  <c r="O109" i="7"/>
  <c r="T108" i="7"/>
  <c r="S108" i="7"/>
  <c r="R108" i="7"/>
  <c r="Q108" i="7"/>
  <c r="P108" i="7"/>
  <c r="O108" i="7"/>
  <c r="T107" i="7"/>
  <c r="S107" i="7"/>
  <c r="R107" i="7"/>
  <c r="Q107" i="7"/>
  <c r="P107" i="7"/>
  <c r="O107" i="7"/>
  <c r="T106" i="7"/>
  <c r="S106" i="7"/>
  <c r="R106" i="7"/>
  <c r="Q106" i="7"/>
  <c r="P106" i="7"/>
  <c r="O106" i="7"/>
  <c r="T105" i="7"/>
  <c r="S105" i="7"/>
  <c r="R105" i="7"/>
  <c r="Q105" i="7"/>
  <c r="P105" i="7"/>
  <c r="O105" i="7"/>
  <c r="T104" i="7"/>
  <c r="S104" i="7"/>
  <c r="R104" i="7"/>
  <c r="Q104" i="7"/>
  <c r="P104" i="7"/>
  <c r="O104" i="7"/>
  <c r="T103" i="7"/>
  <c r="S103" i="7"/>
  <c r="R103" i="7"/>
  <c r="Q103" i="7"/>
  <c r="P103" i="7"/>
  <c r="O103" i="7"/>
  <c r="T102" i="7"/>
  <c r="S102" i="7"/>
  <c r="R102" i="7"/>
  <c r="Q102" i="7"/>
  <c r="P102" i="7"/>
  <c r="O102" i="7"/>
  <c r="T101" i="7"/>
  <c r="S101" i="7"/>
  <c r="R101" i="7"/>
  <c r="Q101" i="7"/>
  <c r="P101" i="7"/>
  <c r="O101" i="7"/>
  <c r="T100" i="7"/>
  <c r="S100" i="7"/>
  <c r="R100" i="7"/>
  <c r="Q100" i="7"/>
  <c r="P100" i="7"/>
  <c r="O100" i="7"/>
  <c r="T99" i="7"/>
  <c r="S99" i="7"/>
  <c r="R99" i="7"/>
  <c r="Q99" i="7"/>
  <c r="P99" i="7"/>
  <c r="O99" i="7"/>
  <c r="T98" i="7"/>
  <c r="S98" i="7"/>
  <c r="R98" i="7"/>
  <c r="Q98" i="7"/>
  <c r="P98" i="7"/>
  <c r="O98" i="7"/>
  <c r="T97" i="7"/>
  <c r="S97" i="7"/>
  <c r="R97" i="7"/>
  <c r="Q97" i="7"/>
  <c r="P97" i="7"/>
  <c r="O97" i="7"/>
  <c r="T96" i="7"/>
  <c r="S96" i="7"/>
  <c r="R96" i="7"/>
  <c r="Q96" i="7"/>
  <c r="P96" i="7"/>
  <c r="O96" i="7"/>
  <c r="T95" i="7"/>
  <c r="S95" i="7"/>
  <c r="R95" i="7"/>
  <c r="Q95" i="7"/>
  <c r="P95" i="7"/>
  <c r="O95" i="7"/>
  <c r="T94" i="7"/>
  <c r="S94" i="7"/>
  <c r="R94" i="7"/>
  <c r="Q94" i="7"/>
  <c r="P94" i="7"/>
  <c r="O94" i="7"/>
  <c r="T93" i="7"/>
  <c r="S93" i="7"/>
  <c r="R93" i="7"/>
  <c r="Q93" i="7"/>
  <c r="P93" i="7"/>
  <c r="O93" i="7"/>
  <c r="T92" i="7"/>
  <c r="S92" i="7"/>
  <c r="R92" i="7"/>
  <c r="Q92" i="7"/>
  <c r="P92" i="7"/>
  <c r="O92" i="7"/>
  <c r="T91" i="7"/>
  <c r="S91" i="7"/>
  <c r="R91" i="7"/>
  <c r="Q91" i="7"/>
  <c r="P91" i="7"/>
  <c r="O91" i="7"/>
  <c r="T90" i="7"/>
  <c r="S90" i="7"/>
  <c r="R90" i="7"/>
  <c r="Q90" i="7"/>
  <c r="P90" i="7"/>
  <c r="O90" i="7"/>
  <c r="T89" i="7"/>
  <c r="S89" i="7"/>
  <c r="R89" i="7"/>
  <c r="Q89" i="7"/>
  <c r="P89" i="7"/>
  <c r="O89" i="7"/>
  <c r="T88" i="7"/>
  <c r="S88" i="7"/>
  <c r="R88" i="7"/>
  <c r="Q88" i="7"/>
  <c r="P88" i="7"/>
  <c r="O88" i="7"/>
  <c r="T87" i="7"/>
  <c r="S87" i="7"/>
  <c r="R87" i="7"/>
  <c r="Q87" i="7"/>
  <c r="P87" i="7"/>
  <c r="O87" i="7"/>
  <c r="T86" i="7"/>
  <c r="S86" i="7"/>
  <c r="R86" i="7"/>
  <c r="Q86" i="7"/>
  <c r="P86" i="7"/>
  <c r="O86" i="7"/>
  <c r="T85" i="7"/>
  <c r="S85" i="7"/>
  <c r="R85" i="7"/>
  <c r="Q85" i="7"/>
  <c r="P85" i="7"/>
  <c r="O85" i="7"/>
  <c r="T84" i="7"/>
  <c r="S84" i="7"/>
  <c r="R84" i="7"/>
  <c r="Q84" i="7"/>
  <c r="P84" i="7"/>
  <c r="O84" i="7"/>
  <c r="T83" i="7"/>
  <c r="S83" i="7"/>
  <c r="R83" i="7"/>
  <c r="Q83" i="7"/>
  <c r="P83" i="7"/>
  <c r="O83" i="7"/>
  <c r="T82" i="7"/>
  <c r="S82" i="7"/>
  <c r="R82" i="7"/>
  <c r="Q82" i="7"/>
  <c r="P82" i="7"/>
  <c r="O82" i="7"/>
  <c r="T81" i="7"/>
  <c r="S81" i="7"/>
  <c r="R81" i="7"/>
  <c r="Q81" i="7"/>
  <c r="P81" i="7"/>
  <c r="O81" i="7"/>
  <c r="T80" i="7"/>
  <c r="S80" i="7"/>
  <c r="R80" i="7"/>
  <c r="Q80" i="7"/>
  <c r="P80" i="7"/>
  <c r="O80" i="7"/>
  <c r="T79" i="7"/>
  <c r="S79" i="7"/>
  <c r="R79" i="7"/>
  <c r="Q79" i="7"/>
  <c r="P79" i="7"/>
  <c r="O79" i="7"/>
  <c r="T78" i="7"/>
  <c r="S78" i="7"/>
  <c r="R78" i="7"/>
  <c r="Q78" i="7"/>
  <c r="P78" i="7"/>
  <c r="O78" i="7"/>
  <c r="T77" i="7"/>
  <c r="S77" i="7"/>
  <c r="R77" i="7"/>
  <c r="Q77" i="7"/>
  <c r="P77" i="7"/>
  <c r="O77" i="7"/>
  <c r="T76" i="7"/>
  <c r="S76" i="7"/>
  <c r="R76" i="7"/>
  <c r="Q76" i="7"/>
  <c r="P76" i="7"/>
  <c r="O76" i="7"/>
  <c r="T75" i="7"/>
  <c r="S75" i="7"/>
  <c r="R75" i="7"/>
  <c r="Q75" i="7"/>
  <c r="P75" i="7"/>
  <c r="O75" i="7"/>
  <c r="T74" i="7"/>
  <c r="S74" i="7"/>
  <c r="R74" i="7"/>
  <c r="Q74" i="7"/>
  <c r="P74" i="7"/>
  <c r="O74" i="7"/>
  <c r="T73" i="7"/>
  <c r="S73" i="7"/>
  <c r="R73" i="7"/>
  <c r="Q73" i="7"/>
  <c r="P73" i="7"/>
  <c r="O73" i="7"/>
  <c r="T72" i="7"/>
  <c r="S72" i="7"/>
  <c r="R72" i="7"/>
  <c r="Q72" i="7"/>
  <c r="P72" i="7"/>
  <c r="O72" i="7"/>
  <c r="T71" i="7"/>
  <c r="S71" i="7"/>
  <c r="R71" i="7"/>
  <c r="Q71" i="7"/>
  <c r="P71" i="7"/>
  <c r="O71" i="7"/>
  <c r="T70" i="7"/>
  <c r="S70" i="7"/>
  <c r="R70" i="7"/>
  <c r="Q70" i="7"/>
  <c r="P70" i="7"/>
  <c r="O70" i="7"/>
  <c r="T69" i="7"/>
  <c r="S69" i="7"/>
  <c r="R69" i="7"/>
  <c r="Q69" i="7"/>
  <c r="P69" i="7"/>
  <c r="O69" i="7"/>
  <c r="T68" i="7"/>
  <c r="S68" i="7"/>
  <c r="R68" i="7"/>
  <c r="Q68" i="7"/>
  <c r="P68" i="7"/>
  <c r="O68" i="7"/>
  <c r="T67" i="7"/>
  <c r="S67" i="7"/>
  <c r="R67" i="7"/>
  <c r="Q67" i="7"/>
  <c r="P67" i="7"/>
  <c r="O67" i="7"/>
  <c r="T66" i="7"/>
  <c r="S66" i="7"/>
  <c r="R66" i="7"/>
  <c r="Q66" i="7"/>
  <c r="P66" i="7"/>
  <c r="O66" i="7"/>
  <c r="T65" i="7"/>
  <c r="S65" i="7"/>
  <c r="R65" i="7"/>
  <c r="Q65" i="7"/>
  <c r="P65" i="7"/>
  <c r="O65" i="7"/>
  <c r="T64" i="7"/>
  <c r="S64" i="7"/>
  <c r="R64" i="7"/>
  <c r="Q64" i="7"/>
  <c r="P64" i="7"/>
  <c r="O64" i="7"/>
  <c r="T63" i="7"/>
  <c r="S63" i="7"/>
  <c r="R63" i="7"/>
  <c r="Q63" i="7"/>
  <c r="P63" i="7"/>
  <c r="O63" i="7"/>
  <c r="T62" i="7"/>
  <c r="S62" i="7"/>
  <c r="R62" i="7"/>
  <c r="Q62" i="7"/>
  <c r="P62" i="7"/>
  <c r="O62" i="7"/>
  <c r="T61" i="7"/>
  <c r="S61" i="7"/>
  <c r="R61" i="7"/>
  <c r="Q61" i="7"/>
  <c r="P61" i="7"/>
  <c r="O61" i="7"/>
  <c r="T60" i="7"/>
  <c r="S60" i="7"/>
  <c r="R60" i="7"/>
  <c r="Q60" i="7"/>
  <c r="P60" i="7"/>
  <c r="O60" i="7"/>
  <c r="T59" i="7"/>
  <c r="S59" i="7"/>
  <c r="R59" i="7"/>
  <c r="Q59" i="7"/>
  <c r="P59" i="7"/>
  <c r="O59" i="7"/>
  <c r="T58" i="7"/>
  <c r="S58" i="7"/>
  <c r="R58" i="7"/>
  <c r="Q58" i="7"/>
  <c r="P58" i="7"/>
  <c r="O58" i="7"/>
  <c r="T57" i="7"/>
  <c r="S57" i="7"/>
  <c r="R57" i="7"/>
  <c r="Q57" i="7"/>
  <c r="P57" i="7"/>
  <c r="O57" i="7"/>
  <c r="T56" i="7"/>
  <c r="S56" i="7"/>
  <c r="R56" i="7"/>
  <c r="Q56" i="7"/>
  <c r="P56" i="7"/>
  <c r="O56" i="7"/>
  <c r="T55" i="7"/>
  <c r="S55" i="7"/>
  <c r="R55" i="7"/>
  <c r="Q55" i="7"/>
  <c r="P55" i="7"/>
  <c r="O55" i="7"/>
  <c r="T54" i="7"/>
  <c r="S54" i="7"/>
  <c r="R54" i="7"/>
  <c r="Q54" i="7"/>
  <c r="P54" i="7"/>
  <c r="O54" i="7"/>
  <c r="T53" i="7"/>
  <c r="S53" i="7"/>
  <c r="R53" i="7"/>
  <c r="Q53" i="7"/>
  <c r="P53" i="7"/>
  <c r="O53" i="7"/>
  <c r="T52" i="7"/>
  <c r="S52" i="7"/>
  <c r="R52" i="7"/>
  <c r="Q52" i="7"/>
  <c r="P52" i="7"/>
  <c r="O52" i="7"/>
  <c r="T51" i="7"/>
  <c r="S51" i="7"/>
  <c r="R51" i="7"/>
  <c r="Q51" i="7"/>
  <c r="P51" i="7"/>
  <c r="O51" i="7"/>
  <c r="T50" i="7"/>
  <c r="S50" i="7"/>
  <c r="R50" i="7"/>
  <c r="Q50" i="7"/>
  <c r="P50" i="7"/>
  <c r="O50" i="7"/>
  <c r="T49" i="7"/>
  <c r="S49" i="7"/>
  <c r="R49" i="7"/>
  <c r="Q49" i="7"/>
  <c r="P49" i="7"/>
  <c r="O49" i="7"/>
  <c r="T48" i="7"/>
  <c r="S48" i="7"/>
  <c r="R48" i="7"/>
  <c r="Q48" i="7"/>
  <c r="P48" i="7"/>
  <c r="O48" i="7"/>
  <c r="T47" i="7"/>
  <c r="S47" i="7"/>
  <c r="R47" i="7"/>
  <c r="Q47" i="7"/>
  <c r="P47" i="7"/>
  <c r="O47" i="7"/>
  <c r="T46" i="7"/>
  <c r="S46" i="7"/>
  <c r="R46" i="7"/>
  <c r="Q46" i="7"/>
  <c r="P46" i="7"/>
  <c r="O46" i="7"/>
  <c r="T45" i="7"/>
  <c r="S45" i="7"/>
  <c r="R45" i="7"/>
  <c r="Q45" i="7"/>
  <c r="P45" i="7"/>
  <c r="O45" i="7"/>
  <c r="T44" i="7"/>
  <c r="S44" i="7"/>
  <c r="R44" i="7"/>
  <c r="Q44" i="7"/>
  <c r="P44" i="7"/>
  <c r="O44" i="7"/>
  <c r="T43" i="7"/>
  <c r="S43" i="7"/>
  <c r="R43" i="7"/>
  <c r="Q43" i="7"/>
  <c r="P43" i="7"/>
  <c r="O43" i="7"/>
  <c r="T42" i="7"/>
  <c r="S42" i="7"/>
  <c r="R42" i="7"/>
  <c r="Q42" i="7"/>
  <c r="P42" i="7"/>
  <c r="O42" i="7"/>
  <c r="T41" i="7"/>
  <c r="S41" i="7"/>
  <c r="R41" i="7"/>
  <c r="Q41" i="7"/>
  <c r="P41" i="7"/>
  <c r="O41" i="7"/>
  <c r="T40" i="7"/>
  <c r="S40" i="7"/>
  <c r="R40" i="7"/>
  <c r="Q40" i="7"/>
  <c r="P40" i="7"/>
  <c r="O40" i="7"/>
  <c r="T39" i="7"/>
  <c r="S39" i="7"/>
  <c r="R39" i="7"/>
  <c r="Q39" i="7"/>
  <c r="P39" i="7"/>
  <c r="O39" i="7"/>
  <c r="T38" i="7"/>
  <c r="S38" i="7"/>
  <c r="R38" i="7"/>
  <c r="Q38" i="7"/>
  <c r="P38" i="7"/>
  <c r="O38" i="7"/>
  <c r="T37" i="7"/>
  <c r="S37" i="7"/>
  <c r="R37" i="7"/>
  <c r="Q37" i="7"/>
  <c r="P37" i="7"/>
  <c r="O37" i="7"/>
  <c r="T36" i="7"/>
  <c r="S36" i="7"/>
  <c r="R36" i="7"/>
  <c r="Q36" i="7"/>
  <c r="P36" i="7"/>
  <c r="O36" i="7"/>
  <c r="T35" i="7"/>
  <c r="S35" i="7"/>
  <c r="R35" i="7"/>
  <c r="Q35" i="7"/>
  <c r="P35" i="7"/>
  <c r="O35" i="7"/>
  <c r="T34" i="7"/>
  <c r="S34" i="7"/>
  <c r="R34" i="7"/>
  <c r="Q34" i="7"/>
  <c r="P34" i="7"/>
  <c r="O34" i="7"/>
  <c r="T33" i="7"/>
  <c r="S33" i="7"/>
  <c r="R33" i="7"/>
  <c r="Q33" i="7"/>
  <c r="P33" i="7"/>
  <c r="O33" i="7"/>
  <c r="T32" i="7"/>
  <c r="S32" i="7"/>
  <c r="R32" i="7"/>
  <c r="Q32" i="7"/>
  <c r="P32" i="7"/>
  <c r="O32" i="7"/>
  <c r="T31" i="7"/>
  <c r="S31" i="7"/>
  <c r="R31" i="7"/>
  <c r="Q31" i="7"/>
  <c r="P31" i="7"/>
  <c r="O31" i="7"/>
  <c r="T30" i="7"/>
  <c r="S30" i="7"/>
  <c r="R30" i="7"/>
  <c r="Q30" i="7"/>
  <c r="P30" i="7"/>
  <c r="O30" i="7"/>
  <c r="T29" i="7"/>
  <c r="S29" i="7"/>
  <c r="R29" i="7"/>
  <c r="Q29" i="7"/>
  <c r="P29" i="7"/>
  <c r="O29" i="7"/>
  <c r="T28" i="7"/>
  <c r="S28" i="7"/>
  <c r="R28" i="7"/>
  <c r="Q28" i="7"/>
  <c r="P28" i="7"/>
  <c r="O28" i="7"/>
  <c r="T27" i="7"/>
  <c r="S27" i="7"/>
  <c r="R27" i="7"/>
  <c r="Q27" i="7"/>
  <c r="P27" i="7"/>
  <c r="O27" i="7"/>
  <c r="T26" i="7"/>
  <c r="S26" i="7"/>
  <c r="R26" i="7"/>
  <c r="Q26" i="7"/>
  <c r="P26" i="7"/>
  <c r="O26" i="7"/>
  <c r="T25" i="7"/>
  <c r="S25" i="7"/>
  <c r="R25" i="7"/>
  <c r="Q25" i="7"/>
  <c r="P25" i="7"/>
  <c r="O25" i="7"/>
  <c r="T24" i="7"/>
  <c r="S24" i="7"/>
  <c r="R24" i="7"/>
  <c r="Q24" i="7"/>
  <c r="P24" i="7"/>
  <c r="O24" i="7"/>
  <c r="T23" i="7"/>
  <c r="S23" i="7"/>
  <c r="R23" i="7"/>
  <c r="Q23" i="7"/>
  <c r="P23" i="7"/>
  <c r="O23" i="7"/>
  <c r="T22" i="7"/>
  <c r="S22" i="7"/>
  <c r="R22" i="7"/>
  <c r="Q22" i="7"/>
  <c r="P22" i="7"/>
  <c r="O22" i="7"/>
  <c r="T21" i="7"/>
  <c r="S21" i="7"/>
  <c r="R21" i="7"/>
  <c r="Q21" i="7"/>
  <c r="P21" i="7"/>
  <c r="O21" i="7"/>
  <c r="T20" i="7"/>
  <c r="S20" i="7"/>
  <c r="R20" i="7"/>
  <c r="Q20" i="7"/>
  <c r="P20" i="7"/>
  <c r="O20" i="7"/>
  <c r="T19" i="7"/>
  <c r="S19" i="7"/>
  <c r="R19" i="7"/>
  <c r="Q19" i="7"/>
  <c r="P19" i="7"/>
  <c r="O19" i="7"/>
  <c r="T18" i="7"/>
  <c r="S18" i="7"/>
  <c r="R18" i="7"/>
  <c r="Q18" i="7"/>
  <c r="P18" i="7"/>
  <c r="O18" i="7"/>
  <c r="T17" i="7"/>
  <c r="S17" i="7"/>
  <c r="R17" i="7"/>
  <c r="Q17" i="7"/>
  <c r="P17" i="7"/>
  <c r="O17" i="7"/>
  <c r="T16" i="7"/>
  <c r="S16" i="7"/>
  <c r="R16" i="7"/>
  <c r="Q16" i="7"/>
  <c r="P16" i="7"/>
  <c r="O16" i="7"/>
  <c r="T15" i="7"/>
  <c r="S15" i="7"/>
  <c r="R15" i="7"/>
  <c r="Q15" i="7"/>
  <c r="P15" i="7"/>
  <c r="O15" i="7"/>
  <c r="T14" i="7"/>
  <c r="S14" i="7"/>
  <c r="R14" i="7"/>
  <c r="Q14" i="7"/>
  <c r="P14" i="7"/>
  <c r="O14" i="7"/>
  <c r="T13" i="7"/>
  <c r="S13" i="7"/>
  <c r="R13" i="7"/>
  <c r="Q13" i="7"/>
  <c r="P13" i="7"/>
  <c r="O13" i="7"/>
  <c r="T12" i="7"/>
  <c r="S12" i="7"/>
  <c r="R12" i="7"/>
  <c r="Q12" i="7"/>
  <c r="P12" i="7"/>
  <c r="O12" i="7"/>
  <c r="T11" i="7"/>
  <c r="S11" i="7"/>
  <c r="R11" i="7"/>
  <c r="Q11" i="7"/>
  <c r="P11" i="7"/>
  <c r="O11" i="7"/>
  <c r="T10" i="7"/>
  <c r="S10" i="7"/>
  <c r="R10" i="7"/>
  <c r="Q10" i="7"/>
  <c r="P10" i="7"/>
  <c r="O10" i="7"/>
  <c r="T9" i="7"/>
  <c r="S9" i="7"/>
  <c r="R9" i="7"/>
  <c r="Q9" i="7"/>
  <c r="P9" i="7"/>
  <c r="O9" i="7"/>
  <c r="T8" i="7"/>
  <c r="S8" i="7"/>
  <c r="R8" i="7"/>
  <c r="Q8" i="7"/>
  <c r="P8" i="7"/>
  <c r="O8" i="7"/>
  <c r="T7" i="7"/>
  <c r="S7" i="7"/>
  <c r="R7" i="7"/>
  <c r="Q7" i="7"/>
  <c r="P7" i="7"/>
  <c r="O7" i="7"/>
  <c r="T6" i="7"/>
  <c r="S6" i="7"/>
  <c r="R6" i="7"/>
  <c r="Q6" i="7"/>
  <c r="P6" i="7"/>
  <c r="O6" i="7"/>
  <c r="T5" i="7"/>
  <c r="S5" i="7"/>
  <c r="R5" i="7"/>
  <c r="Q5" i="7"/>
  <c r="P5" i="7"/>
  <c r="O5" i="7"/>
  <c r="T4" i="7"/>
  <c r="S4" i="7"/>
  <c r="R4" i="7"/>
  <c r="Q4" i="7"/>
  <c r="P4" i="7"/>
  <c r="O4" i="7"/>
  <c r="T3" i="7"/>
  <c r="S3" i="7"/>
  <c r="R3" i="7"/>
  <c r="Q3" i="7"/>
  <c r="P3" i="7"/>
  <c r="O3" i="7"/>
  <c r="T2" i="7"/>
  <c r="S2" i="7"/>
  <c r="R2" i="7"/>
  <c r="Q2" i="7"/>
  <c r="P2" i="7"/>
  <c r="O2" i="7"/>
  <c r="T3" i="5" l="1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T2" i="5"/>
  <c r="S2" i="5"/>
  <c r="R2" i="5"/>
</calcChain>
</file>

<file path=xl/sharedStrings.xml><?xml version="1.0" encoding="utf-8"?>
<sst xmlns="http://schemas.openxmlformats.org/spreadsheetml/2006/main" count="3111" uniqueCount="206">
  <si>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</si>
  <si>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</si>
  <si>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</si>
  <si>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</si>
  <si>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</si>
  <si>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</si>
  <si>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</si>
  <si>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</si>
  <si>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</si>
  <si>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</si>
  <si>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</si>
  <si>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</si>
  <si>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</si>
  <si>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</si>
  <si>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</si>
  <si>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</si>
  <si>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</si>
  <si>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</si>
  <si>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</si>
  <si>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</si>
  <si>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</si>
  <si>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</si>
  <si>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</si>
  <si>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</si>
  <si>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</si>
  <si>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</si>
  <si>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</si>
  <si>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</si>
  <si>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</si>
  <si>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</si>
  <si>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</si>
  <si>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</si>
  <si>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</si>
  <si>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</si>
  <si>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</si>
  <si>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</si>
  <si>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</si>
  <si>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</si>
  <si>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</si>
  <si>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</si>
  <si>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</si>
  <si>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</si>
  <si>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</si>
  <si>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</si>
  <si>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</si>
  <si>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</si>
  <si>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</si>
  <si>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</si>
  <si>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</si>
  <si>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</si>
  <si>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</si>
  <si>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</si>
  <si>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</si>
  <si>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</si>
  <si>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</si>
  <si>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</si>
  <si>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</si>
  <si>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</si>
  <si>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</si>
  <si>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</si>
  <si>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</si>
  <si>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</si>
  <si>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</si>
  <si>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</si>
  <si>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</si>
  <si>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</si>
  <si>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</si>
  <si>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</si>
  <si>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</si>
  <si>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</si>
  <si>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</si>
  <si>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</si>
  <si>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</si>
  <si>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</si>
  <si>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</si>
  <si>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</si>
  <si>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</si>
  <si>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</si>
  <si>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</si>
  <si>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</si>
  <si>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</si>
  <si>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</si>
  <si>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</si>
  <si>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</si>
  <si>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</si>
  <si>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</si>
  <si>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</si>
  <si>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</si>
  <si>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</si>
  <si>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</si>
  <si>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</si>
  <si>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</si>
  <si>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</si>
  <si>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</si>
  <si>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</si>
  <si>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</si>
  <si>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</si>
  <si>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</si>
  <si>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</si>
  <si>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</si>
  <si>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</si>
  <si>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</si>
  <si>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</si>
  <si>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</si>
  <si>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</si>
  <si>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</si>
  <si>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</si>
  <si>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</si>
  <si>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</si>
  <si>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</si>
  <si>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</si>
  <si>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</si>
  <si>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</si>
  <si>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</si>
  <si>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</si>
  <si>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</si>
  <si>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</si>
  <si>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</si>
  <si>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region_North</t>
  </si>
  <si>
    <t>region_West</t>
  </si>
  <si>
    <t>region_South</t>
  </si>
  <si>
    <t>store_High_Street</t>
  </si>
  <si>
    <t xml:space="preserve"> store_Airport</t>
  </si>
  <si>
    <t xml:space="preserve"> store_Mall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</si>
  <si>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</si>
  <si>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</si>
  <si>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</si>
  <si>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</si>
  <si>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</si>
  <si>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</si>
  <si>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</si>
  <si>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</si>
  <si>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</si>
  <si>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</si>
  <si>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</si>
  <si>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</si>
  <si>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</si>
  <si>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</si>
  <si>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</si>
  <si>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</si>
  <si>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</si>
  <si>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</si>
  <si>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</si>
  <si>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</si>
  <si>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</si>
  <si>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</si>
  <si>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</si>
  <si>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</si>
  <si>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</si>
  <si>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</si>
  <si>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</si>
  <si>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</si>
  <si>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 xml:space="preserve">Variables Used </t>
  </si>
  <si>
    <t>Model 1: Marketing</t>
  </si>
  <si>
    <t>DV: monthly_sales IV: marketing_spend</t>
  </si>
  <si>
    <t>marketing_spend (p&lt;0.05)</t>
  </si>
  <si>
    <t>Low directional ROI tracking</t>
  </si>
  <si>
    <t>Missing footfall traffic and regional metrics</t>
  </si>
  <si>
    <t>Model 2: Traffic</t>
  </si>
  <si>
    <t>footfall (p&lt;0.05)</t>
  </si>
  <si>
    <t>Moderate volume tracking</t>
  </si>
  <si>
    <t>Omits marketing returns data and expansion shifts</t>
  </si>
  <si>
    <t>Model 3: Multiple Regression</t>
  </si>
  <si>
    <t>footfall, marketing_spend, region_South, region_West (p&lt;0.05)</t>
  </si>
  <si>
    <t>DV: monthly_sales IV: footfall</t>
  </si>
  <si>
    <t>DV: monthly_sales IV: marketing_spend, footfall, avg_discount_pct, region_North, region_South, region_West</t>
  </si>
  <si>
    <t>Model Name</t>
  </si>
  <si>
    <t>R-squared</t>
  </si>
  <si>
    <t>Significant Variables</t>
  </si>
  <si>
    <t>Business Usefulness</t>
  </si>
  <si>
    <t>Limitations</t>
  </si>
  <si>
    <t>High strategic decision making</t>
  </si>
  <si>
    <t>Does not capture non-linear local market changes</t>
  </si>
  <si>
    <t xml:space="preserve"> an expected baseline lift of $2.13 in top-line store sales revenue.</t>
  </si>
  <si>
    <t>DOCUMENTATION REQUIREMENTS</t>
  </si>
  <si>
    <t xml:space="preserve"> below the standard alpha = 0.05 threshold.</t>
  </si>
  <si>
    <r>
      <t>1. Regression Equation:</t>
    </r>
    <r>
      <rPr>
        <sz val="11"/>
        <rFont val="Arial Rounded MT Bold"/>
        <family val="2"/>
      </rPr>
      <t xml:space="preserve"> </t>
    </r>
    <r>
      <rPr>
        <sz val="10"/>
        <rFont val="Arial Rounded MT Bold"/>
        <family val="2"/>
      </rPr>
      <t>monthly_sales = 560777.35 + 2.1296 * (marketing_spend)</t>
    </r>
  </si>
  <si>
    <r>
      <t>2. R-squared:</t>
    </r>
    <r>
      <rPr>
        <sz val="11"/>
        <rFont val="Arial Rounded MT Bold"/>
        <family val="2"/>
      </rPr>
      <t xml:space="preserve"> </t>
    </r>
    <r>
      <rPr>
        <sz val="10"/>
        <rFont val="Arial Rounded MT Bold"/>
        <family val="2"/>
      </rPr>
      <t>0.1672 (16.72%)</t>
    </r>
  </si>
  <si>
    <r>
      <t>3. Coefficient (Slope):</t>
    </r>
    <r>
      <rPr>
        <sz val="11"/>
        <rFont val="Arial Rounded MT Bold"/>
        <family val="2"/>
      </rPr>
      <t xml:space="preserve"> </t>
    </r>
    <r>
      <rPr>
        <sz val="10"/>
        <rFont val="Arial Rounded MT Bold"/>
        <family val="2"/>
      </rPr>
      <t>2.1296</t>
    </r>
  </si>
  <si>
    <r>
      <t>4. P-value:</t>
    </r>
    <r>
      <rPr>
        <sz val="11"/>
        <rFont val="Arial Rounded MT Bold"/>
        <family val="2"/>
      </rPr>
      <t xml:space="preserve"> </t>
    </r>
    <r>
      <rPr>
        <sz val="10"/>
        <rFont val="Arial Rounded MT Bold"/>
        <family val="2"/>
      </rPr>
      <t>2.48006E-14 (Highly Significant)</t>
    </r>
  </si>
  <si>
    <r>
      <rPr>
        <sz val="10"/>
        <rFont val="Arial Rounded MT Bold"/>
        <family val="2"/>
      </rPr>
      <t>5. Business Interpretation:</t>
    </r>
    <r>
      <rPr>
        <sz val="11"/>
        <rFont val="Arial Rounded MT Bold"/>
        <family val="2"/>
      </rPr>
      <t xml:space="preserve"> </t>
    </r>
    <r>
      <rPr>
        <sz val="10"/>
        <rFont val="Arial Rounded MT Bold"/>
        <family val="2"/>
      </rPr>
      <t>Every $1.00 increase in monthly marketing spend yields</t>
    </r>
  </si>
  <si>
    <r>
      <t>6. Variable Usefulness:</t>
    </r>
    <r>
      <rPr>
        <sz val="11"/>
        <rFont val="Arial Rounded MT Bold"/>
        <family val="2"/>
      </rPr>
      <t xml:space="preserve"> </t>
    </r>
    <r>
      <rPr>
        <sz val="10"/>
        <rFont val="Arial Rounded MT Bold"/>
        <family val="2"/>
      </rPr>
      <t>Highly useful. The p-value sits exponentially</t>
    </r>
  </si>
  <si>
    <t>increases expected monthly revenue totals by an average of $35.68.</t>
  </si>
  <si>
    <t>available in the raw dataset, capturing 73.63% of structural sales variations alone.</t>
  </si>
  <si>
    <r>
      <t>1. Regression Equation:</t>
    </r>
    <r>
      <rPr>
        <sz val="11"/>
        <rFont val="Bahnschrift"/>
        <family val="2"/>
      </rPr>
      <t xml:space="preserve"> </t>
    </r>
    <r>
      <rPr>
        <sz val="10"/>
        <rFont val="Bahnschrift"/>
        <family val="2"/>
      </rPr>
      <t>monthly_sales = 446410.58 + 35.6780 * (footfall)</t>
    </r>
  </si>
  <si>
    <r>
      <t>2. R-squared:</t>
    </r>
    <r>
      <rPr>
        <sz val="11"/>
        <rFont val="Bahnschrift"/>
        <family val="2"/>
      </rPr>
      <t xml:space="preserve"> </t>
    </r>
    <r>
      <rPr>
        <sz val="10"/>
        <rFont val="Bahnschrift"/>
        <family val="2"/>
      </rPr>
      <t>0.7363 (73.63%)</t>
    </r>
  </si>
  <si>
    <r>
      <t>3. Coefficient (Slope):</t>
    </r>
    <r>
      <rPr>
        <sz val="11"/>
        <rFont val="Bahnschrift"/>
        <family val="2"/>
      </rPr>
      <t xml:space="preserve"> </t>
    </r>
    <r>
      <rPr>
        <sz val="10"/>
        <rFont val="Bahnschrift"/>
        <family val="2"/>
      </rPr>
      <t>35.6780</t>
    </r>
  </si>
  <si>
    <r>
      <t>4. P-value:</t>
    </r>
    <r>
      <rPr>
        <sz val="11"/>
        <rFont val="Bahnschrift"/>
        <family val="2"/>
      </rPr>
      <t xml:space="preserve"> </t>
    </r>
    <r>
      <rPr>
        <sz val="10"/>
        <rFont val="Bahnschrift"/>
        <family val="2"/>
      </rPr>
      <t>4.75036E-94 (Highly Significant)</t>
    </r>
  </si>
  <si>
    <r>
      <t>5. Business Interpretation:</t>
    </r>
    <r>
      <rPr>
        <sz val="11"/>
        <rFont val="Bahnschrift"/>
        <family val="2"/>
      </rPr>
      <t xml:space="preserve"> </t>
    </r>
    <r>
      <rPr>
        <sz val="10"/>
        <rFont val="Bahnschrift"/>
        <family val="2"/>
      </rPr>
      <t xml:space="preserve">Every single additional customer visiting the store </t>
    </r>
  </si>
  <si>
    <r>
      <t>6. Variable Usefulness:</t>
    </r>
    <r>
      <rPr>
        <sz val="11"/>
        <rFont val="Bahnschrift"/>
        <family val="2"/>
      </rPr>
      <t xml:space="preserve"> </t>
    </r>
    <r>
      <rPr>
        <sz val="10"/>
        <rFont val="Bahnschrift"/>
        <family val="2"/>
      </rPr>
      <t xml:space="preserve">Critical. This represents the single strongest operational predictor </t>
    </r>
  </si>
  <si>
    <t>MULTIPLE REGRESSION DOCUMENTATION</t>
  </si>
  <si>
    <t>1. Intercept: 391,327.13 (Predicted sales when all operational predictors are zero)</t>
  </si>
  <si>
    <t>3. R-squared: 0.7926 (79.26% of all monthly sales variance is captured by this model)</t>
  </si>
  <si>
    <t xml:space="preserve">2. Coefficients: marketing_spend: 1.1428 | footfall: 33.7593 | avg_discount_pct: -72,697.03 | </t>
  </si>
  <si>
    <t>region_North: 13,427.78 | region_South: 21,268.10 | region_West: 19,854.55</t>
  </si>
  <si>
    <t xml:space="preserve"> region_South: 0.0071 | region_West: 0.0041</t>
  </si>
  <si>
    <t>4. P-values: marketing_spend: 3.90E-15 | footfall: 9.19E-96 | avg_discount_pct: 0.0696 | region_North: 0.0789 |</t>
  </si>
  <si>
    <t xml:space="preserve">5. Direction of Relationship: Positive: footfall, marketing_spend, region_North, region_South, region_West. </t>
  </si>
  <si>
    <t>Negative: avg_discount_pct.</t>
  </si>
  <si>
    <t xml:space="preserve">6. Business Meaning of Important Variables: Each customer footfall addition generates an expected $33.76 lift. </t>
  </si>
  <si>
    <t xml:space="preserve">Marketing spend yields a positive return of $1.14 per dollar deployed. South and West regions provide </t>
  </si>
  <si>
    <t xml:space="preserve">baseline premiums of $21.2k and $19.9k respectively. </t>
  </si>
  <si>
    <t xml:space="preserve">7. Statistically Weak Variables: avg_discount_pct (p = 0.0696 &gt; 0.05) and region_North (p = 0.0789 &gt; 0.05) are </t>
  </si>
  <si>
    <t>statistically weak and should not be aggressively relied upon for strategy.</t>
  </si>
  <si>
    <t>RESIDUAL OUTPUT (largest to smallest)</t>
  </si>
  <si>
    <t>RESIDUAL OUTPUT (smallest to largest)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</si>
</sst>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"/>
    <numFmt numFmtId="177" formatCode="0.0000"/>
  </numFmts>
  <fonts count="13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arlito"/>
    </font>
    <font>
      <sz val="11"/>
      <name val="Arial Rounded MT Bold"/>
      <family val="2"/>
    </font>
    <font>
      <sz val="10"/>
      <name val="Arial Rounded MT Bold"/>
      <family val="2"/>
    </font>
    <font>
      <b/>
      <sz val="11"/>
      <color rgb="FFFF0000"/>
      <name val="Carlito"/>
    </font>
    <font>
      <sz val="11"/>
      <name val="Bahnschrift"/>
      <family val="2"/>
    </font>
    <font>
      <sz val="10"/>
      <name val="Bahnschrift"/>
      <family val="2"/>
    </font>
    <font>
      <b/>
      <sz val="11"/>
      <name val="Cartil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3" fillId="0" borderId="0" xfId="0" applyFont="1"/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Fill="1" applyBorder="1" applyAlignment="1"/>
    <xf numFmtId="177" fontId="9" fillId="0" borderId="1" xfId="0" applyNumberFormat="1" applyFont="1" applyFill="1" applyBorder="1" applyAlignment="1"/>
    <xf numFmtId="177" fontId="9" fillId="0" borderId="0" xfId="0" applyNumberFormat="1" applyFont="1" applyFill="1" applyBorder="1" applyAlignment="1"/>
    <xf numFmtId="0" fontId="10" fillId="0" borderId="0" xfId="0" applyFont="1"/>
    <xf numFmtId="0" fontId="11" fillId="0" borderId="0" xfId="0" applyFont="1"/>
    <xf numFmtId="0" fontId="9" fillId="0" borderId="0" xfId="0" applyFont="1" applyFill="1" applyBorder="1" applyAlignment="1"/>
    <xf numFmtId="0" fontId="12" fillId="0" borderId="0" xfId="0" applyFont="1"/>
    <xf numFmtId="2" fontId="9" fillId="0" borderId="0" xfId="0" applyNumberFormat="1" applyFont="1" applyFill="1" applyBorder="1" applyAlignment="1"/>
    <xf numFmtId="2" fontId="9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102</v>
      </c>
      <c r="B1" s="1" t="s">
        <v>103</v>
      </c>
    </row>
    <row r="2" spans="1:2">
      <c r="A2" s="4" t="s">
        <v>0</v>
      </c>
      <c r="B2" s="4" t="s">
        <v>104</v>
      </c>
    </row>
    <row r="3" spans="1:2">
      <c r="A3" s="4" t="s">
        <v>1</v>
      </c>
      <c r="B3" s="4" t="s">
        <v>105</v>
      </c>
    </row>
    <row r="4" spans="1:2">
      <c r="A4" s="4" t="s">
        <v>2</v>
      </c>
      <c r="B4" s="4" t="s">
        <v>106</v>
      </c>
    </row>
    <row r="5" spans="1:2" ht="28.5">
      <c r="A5" s="4" t="s">
        <v>3</v>
      </c>
      <c r="B5" s="4" t="s">
        <v>107</v>
      </c>
    </row>
    <row r="6" spans="1:2" ht="28.5">
      <c r="A6" s="4" t="s">
        <v>4</v>
      </c>
      <c r="B6" s="4" t="s">
        <v>108</v>
      </c>
    </row>
    <row r="7" spans="1:2">
      <c r="A7" s="4" t="s">
        <v>5</v>
      </c>
      <c r="B7" s="4" t="s">
        <v>109</v>
      </c>
    </row>
    <row r="8" spans="1:2" ht="28.5">
      <c r="A8" s="4" t="s">
        <v>6</v>
      </c>
      <c r="B8" s="4" t="s">
        <v>110</v>
      </c>
    </row>
    <row r="9" spans="1:2">
      <c r="A9" s="4" t="s">
        <v>7</v>
      </c>
      <c r="B9" s="4" t="s">
        <v>111</v>
      </c>
    </row>
    <row r="10" spans="1:2" ht="28.5">
      <c r="A10" s="4" t="s">
        <v>8</v>
      </c>
      <c r="B10" s="4" t="s">
        <v>112</v>
      </c>
    </row>
    <row r="11" spans="1:2">
      <c r="A11" s="4" t="s">
        <v>9</v>
      </c>
      <c r="B11" s="4" t="s">
        <v>113</v>
      </c>
    </row>
    <row r="12" spans="1:2" ht="42.75">
      <c r="A12" s="4" t="s">
        <v>10</v>
      </c>
      <c r="B12" s="4" t="s">
        <v>114</v>
      </c>
    </row>
    <row r="13" spans="1:2">
      <c r="A13" s="4" t="s">
        <v>11</v>
      </c>
      <c r="B13" s="4" t="s">
        <v>115</v>
      </c>
    </row>
    <row r="14" spans="1:2" ht="28.5">
      <c r="A14" s="4" t="s">
        <v>12</v>
      </c>
      <c r="B14" s="4" t="s">
        <v>116</v>
      </c>
    </row>
    <row r="15" spans="1:2" ht="28.5">
      <c r="A15" s="4" t="s">
        <v>13</v>
      </c>
      <c r="B15" s="4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Views>
    <sheetView workbookViewId="0"/>
  </sheetViews>
  <sheetFormatPr defaultRowHeight="14.25"/>
  <cols>
    <col min="1" max="14" width="16" customWidth="1"/>
  </cols>
  <sheetData>
    <row r="1" spans="1:14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</row>
    <row r="3" spans="1:14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</row>
    <row r="4" spans="1:14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</row>
    <row r="5" spans="1:14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</row>
    <row r="6" spans="1:14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</row>
    <row r="7" spans="1:14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</row>
    <row r="8" spans="1:14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</row>
    <row r="9" spans="1:14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</row>
    <row r="10" spans="1:14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</row>
    <row r="11" spans="1:14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</row>
    <row r="12" spans="1:14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</row>
    <row r="13" spans="1:14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</row>
    <row r="14" spans="1:14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</row>
    <row r="15" spans="1:14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</row>
    <row r="16" spans="1:14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</row>
    <row r="17" spans="1:14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</row>
    <row r="18" spans="1:14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</row>
    <row r="19" spans="1:14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</row>
    <row r="20" spans="1:14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</row>
    <row r="21" spans="1:14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</row>
    <row r="22" spans="1:14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</row>
    <row r="23" spans="1:14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</row>
    <row r="24" spans="1:14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</row>
    <row r="25" spans="1:14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</row>
    <row r="26" spans="1:14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</row>
    <row r="27" spans="1:14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</row>
    <row r="28" spans="1:14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</row>
    <row r="29" spans="1:14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</row>
    <row r="30" spans="1:14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</row>
    <row r="31" spans="1:14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</row>
    <row r="32" spans="1:14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</row>
    <row r="33" spans="1:14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</row>
    <row r="34" spans="1:14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</row>
    <row r="35" spans="1:14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</row>
    <row r="36" spans="1:14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</row>
    <row r="37" spans="1:14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</row>
    <row r="38" spans="1:14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</row>
    <row r="39" spans="1:14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</row>
    <row r="40" spans="1:14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</row>
    <row r="41" spans="1:14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</row>
    <row r="42" spans="1:14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</row>
    <row r="43" spans="1:14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</row>
    <row r="44" spans="1:14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</row>
    <row r="45" spans="1:14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</row>
    <row r="46" spans="1:14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</row>
    <row r="47" spans="1:14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</row>
    <row r="48" spans="1:14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</row>
    <row r="49" spans="1:14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</row>
    <row r="50" spans="1:14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</row>
    <row r="51" spans="1:14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</row>
    <row r="52" spans="1:14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</row>
    <row r="53" spans="1:14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</row>
    <row r="54" spans="1:14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</row>
    <row r="55" spans="1:14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</row>
    <row r="56" spans="1:14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</row>
    <row r="57" spans="1:14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</row>
    <row r="58" spans="1:14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</row>
    <row r="59" spans="1:14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</row>
    <row r="60" spans="1:14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</row>
    <row r="61" spans="1:14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</row>
    <row r="62" spans="1:14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</row>
    <row r="63" spans="1:14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</row>
    <row r="64" spans="1:14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</row>
    <row r="65" spans="1:14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</row>
    <row r="66" spans="1:14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</row>
    <row r="67" spans="1:14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</row>
    <row r="68" spans="1:14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</row>
    <row r="69" spans="1:14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</row>
    <row r="70" spans="1:14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</row>
    <row r="71" spans="1:14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</row>
    <row r="72" spans="1:14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</row>
    <row r="73" spans="1:14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</row>
    <row r="74" spans="1:14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</row>
    <row r="75" spans="1:14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</row>
    <row r="76" spans="1:14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</row>
    <row r="77" spans="1:14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</row>
    <row r="78" spans="1:14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</row>
    <row r="79" spans="1:14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</row>
    <row r="80" spans="1:14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</row>
    <row r="81" spans="1:14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</row>
    <row r="82" spans="1:14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</row>
    <row r="83" spans="1:14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</row>
    <row r="84" spans="1:14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</row>
    <row r="85" spans="1:14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</row>
    <row r="86" spans="1:14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</row>
    <row r="87" spans="1:14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</row>
    <row r="88" spans="1:14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</row>
    <row r="89" spans="1:14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</row>
    <row r="90" spans="1:14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</row>
    <row r="91" spans="1:14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</row>
    <row r="92" spans="1:14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</row>
    <row r="93" spans="1:14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</row>
    <row r="94" spans="1:14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</row>
    <row r="95" spans="1:14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</row>
    <row r="96" spans="1:14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</row>
    <row r="97" spans="1:14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</row>
    <row r="98" spans="1:14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</row>
    <row r="99" spans="1:14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</row>
    <row r="100" spans="1:14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</row>
    <row r="101" spans="1:14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</row>
    <row r="102" spans="1:14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</row>
    <row r="103" spans="1:14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</row>
    <row r="104" spans="1:14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</row>
    <row r="105" spans="1:14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</row>
    <row r="106" spans="1:14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</row>
    <row r="107" spans="1:14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</row>
    <row r="108" spans="1:14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</row>
    <row r="109" spans="1:14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</row>
    <row r="110" spans="1:14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</row>
    <row r="111" spans="1:14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</row>
    <row r="112" spans="1:14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</row>
    <row r="113" spans="1:14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</row>
    <row r="114" spans="1:14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</row>
    <row r="115" spans="1:14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</row>
    <row r="116" spans="1:14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</row>
    <row r="117" spans="1:14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</row>
    <row r="118" spans="1:14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</row>
    <row r="119" spans="1:14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</row>
    <row r="120" spans="1:14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</row>
    <row r="121" spans="1:14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</row>
    <row r="122" spans="1:14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</row>
    <row r="123" spans="1:14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</row>
    <row r="124" spans="1:14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</row>
    <row r="125" spans="1:14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</row>
    <row r="126" spans="1:14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</row>
    <row r="127" spans="1:14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</row>
    <row r="128" spans="1:14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</row>
    <row r="129" spans="1:14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</row>
    <row r="130" spans="1:14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</row>
    <row r="131" spans="1:14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</row>
    <row r="132" spans="1:14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</row>
    <row r="133" spans="1:14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</row>
    <row r="134" spans="1:14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</row>
    <row r="135" spans="1:14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</row>
    <row r="136" spans="1:14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</row>
    <row r="137" spans="1:14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</row>
    <row r="138" spans="1:14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</row>
    <row r="139" spans="1:14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</row>
    <row r="140" spans="1:14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</row>
    <row r="141" spans="1:14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</row>
    <row r="142" spans="1:14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</row>
    <row r="143" spans="1:14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</row>
    <row r="144" spans="1:14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</row>
    <row r="145" spans="1:14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</row>
    <row r="146" spans="1:14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</row>
    <row r="147" spans="1:14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</row>
    <row r="148" spans="1:14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</row>
    <row r="149" spans="1:14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</row>
    <row r="150" spans="1:14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</row>
    <row r="151" spans="1:14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</row>
    <row r="152" spans="1:14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</row>
    <row r="153" spans="1:14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</row>
    <row r="154" spans="1:14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</row>
    <row r="155" spans="1:14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</row>
    <row r="156" spans="1:14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</row>
    <row r="157" spans="1:14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</row>
    <row r="158" spans="1:14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</row>
    <row r="159" spans="1:14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</row>
    <row r="160" spans="1:14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</row>
    <row r="161" spans="1:14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</row>
    <row r="162" spans="1:14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</row>
    <row r="163" spans="1:14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</row>
    <row r="164" spans="1:14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</row>
    <row r="165" spans="1:14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</row>
    <row r="166" spans="1:14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</row>
    <row r="167" spans="1:14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</row>
    <row r="168" spans="1:14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</row>
    <row r="169" spans="1:14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</row>
    <row r="170" spans="1:14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</row>
    <row r="171" spans="1:14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</row>
    <row r="172" spans="1:14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</row>
    <row r="173" spans="1:14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</row>
    <row r="174" spans="1:14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</row>
    <row r="175" spans="1:14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</row>
    <row r="176" spans="1:14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</row>
    <row r="177" spans="1:14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</row>
    <row r="178" spans="1:14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</row>
    <row r="179" spans="1:14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</row>
    <row r="180" spans="1:14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</row>
    <row r="181" spans="1:14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</row>
    <row r="182" spans="1:14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</row>
    <row r="183" spans="1:14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</row>
    <row r="184" spans="1:14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</row>
    <row r="185" spans="1:14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</row>
    <row r="186" spans="1:14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</row>
    <row r="187" spans="1:14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</row>
    <row r="188" spans="1:14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</row>
    <row r="189" spans="1:14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</row>
    <row r="190" spans="1:14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</row>
    <row r="191" spans="1:14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</row>
    <row r="192" spans="1:14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</row>
    <row r="193" spans="1:14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</row>
    <row r="194" spans="1:14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</row>
    <row r="195" spans="1:14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</row>
    <row r="196" spans="1:14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</row>
    <row r="197" spans="1:14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</row>
    <row r="198" spans="1:14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</row>
    <row r="199" spans="1:14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</row>
    <row r="200" spans="1:14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</row>
    <row r="201" spans="1:14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</row>
    <row r="202" spans="1:14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</row>
    <row r="203" spans="1:14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</row>
    <row r="204" spans="1:14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</row>
    <row r="205" spans="1:14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</row>
    <row r="206" spans="1:14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</row>
    <row r="207" spans="1:14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</row>
    <row r="208" spans="1:14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</row>
    <row r="209" spans="1:14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</row>
    <row r="210" spans="1:14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</row>
    <row r="211" spans="1:14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</row>
    <row r="212" spans="1:14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</row>
    <row r="213" spans="1:14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</row>
    <row r="214" spans="1:14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</row>
    <row r="215" spans="1:14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</row>
    <row r="216" spans="1:14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</row>
    <row r="217" spans="1:14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</row>
    <row r="218" spans="1:14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</row>
    <row r="219" spans="1:14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</row>
    <row r="220" spans="1:14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</row>
    <row r="221" spans="1:14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</row>
    <row r="222" spans="1:14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</row>
    <row r="223" spans="1:14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</row>
    <row r="224" spans="1:14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</row>
    <row r="225" spans="1:14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</row>
    <row r="226" spans="1:14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</row>
    <row r="227" spans="1:14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</row>
    <row r="228" spans="1:14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</row>
    <row r="229" spans="1:14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</row>
    <row r="230" spans="1:14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</row>
    <row r="231" spans="1:14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</row>
    <row r="232" spans="1:14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</row>
    <row r="233" spans="1:14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</row>
    <row r="234" spans="1:14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</row>
    <row r="235" spans="1:14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</row>
    <row r="236" spans="1:14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</row>
    <row r="237" spans="1:14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</row>
    <row r="238" spans="1:14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</row>
    <row r="239" spans="1:14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</row>
    <row r="240" spans="1:14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</row>
    <row r="241" spans="1:14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</row>
    <row r="242" spans="1:14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</row>
    <row r="243" spans="1:14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</row>
    <row r="244" spans="1:14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</row>
    <row r="245" spans="1:14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</row>
    <row r="246" spans="1:14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</row>
    <row r="247" spans="1:14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</row>
    <row r="248" spans="1:14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</row>
    <row r="249" spans="1:14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</row>
    <row r="250" spans="1:14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</row>
    <row r="251" spans="1:14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</row>
    <row r="252" spans="1:14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</row>
    <row r="253" spans="1:14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</row>
    <row r="254" spans="1:14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</row>
    <row r="255" spans="1:14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</row>
    <row r="256" spans="1:14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</row>
    <row r="257" spans="1:14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</row>
    <row r="258" spans="1:14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</row>
    <row r="259" spans="1:14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</row>
    <row r="260" spans="1:14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</row>
    <row r="261" spans="1:14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</row>
    <row r="262" spans="1:14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</row>
    <row r="263" spans="1:14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</row>
    <row r="264" spans="1:14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</row>
    <row r="265" spans="1:14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</row>
    <row r="266" spans="1:14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</row>
    <row r="267" spans="1:14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</row>
    <row r="268" spans="1:14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</row>
    <row r="269" spans="1:14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</row>
    <row r="270" spans="1:14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</row>
    <row r="271" spans="1:14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</row>
    <row r="272" spans="1:14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</row>
    <row r="273" spans="1:14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</row>
    <row r="274" spans="1:14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</row>
    <row r="275" spans="1:14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</row>
    <row r="276" spans="1:14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</row>
    <row r="277" spans="1:14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</row>
    <row r="278" spans="1:14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</row>
    <row r="279" spans="1:14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</row>
    <row r="280" spans="1:14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</row>
    <row r="281" spans="1:14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</row>
    <row r="282" spans="1:14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</row>
    <row r="283" spans="1:14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</row>
    <row r="284" spans="1:14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</row>
    <row r="285" spans="1:14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</row>
    <row r="286" spans="1:14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</row>
    <row r="287" spans="1:14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</row>
    <row r="288" spans="1:14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</row>
    <row r="289" spans="1:14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</row>
    <row r="290" spans="1:14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</row>
    <row r="291" spans="1:14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</row>
    <row r="292" spans="1:14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</row>
    <row r="293" spans="1:14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</row>
    <row r="294" spans="1:14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</row>
    <row r="295" spans="1:14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</row>
    <row r="296" spans="1:14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</row>
    <row r="297" spans="1:14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</row>
    <row r="298" spans="1:14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</row>
    <row r="299" spans="1:14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</row>
    <row r="300" spans="1:14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</row>
    <row r="301" spans="1:14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</row>
    <row r="302" spans="1:14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</row>
    <row r="303" spans="1:14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</row>
    <row r="304" spans="1:14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</row>
    <row r="305" spans="1:14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</row>
    <row r="306" spans="1:14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</row>
    <row r="307" spans="1:14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</row>
    <row r="308" spans="1:14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</row>
    <row r="309" spans="1:14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</row>
    <row r="310" spans="1:14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</row>
    <row r="311" spans="1:14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</row>
    <row r="312" spans="1:14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</row>
    <row r="313" spans="1:14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</row>
    <row r="314" spans="1:14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</row>
    <row r="315" spans="1:14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</row>
    <row r="316" spans="1:14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</row>
    <row r="317" spans="1:14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</row>
    <row r="318" spans="1:14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</row>
    <row r="319" spans="1:14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</row>
    <row r="320" spans="1:14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</row>
    <row r="321" spans="1:14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1"/>
  <sheetViews>
    <sheetView topLeftCell="D1" workbookViewId="0"/>
  </sheetViews>
  <sheetFormatPr defaultRowHeight="14.25"/>
  <cols>
    <col min="1" max="7" width="16" customWidth="1"/>
    <col min="8" max="8" width="12.625" bestFit="1" customWidth="1"/>
    <col min="9" max="9" width="13" bestFit="1" customWidth="1"/>
    <col min="10" max="10" width="12" bestFit="1" customWidth="1"/>
    <col min="11" max="17" width="16" customWidth="1"/>
    <col min="18" max="18" width="17.375" bestFit="1" customWidth="1"/>
    <col min="19" max="19" width="13.125" bestFit="1" customWidth="1"/>
    <col min="20" max="20" width="10.625" bestFit="1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118</v>
      </c>
      <c r="I1" s="1" t="s">
        <v>120</v>
      </c>
      <c r="J1" s="1" t="s">
        <v>119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121</v>
      </c>
      <c r="S1" s="1" t="s">
        <v>122</v>
      </c>
      <c r="T1" s="1" t="s">
        <v>123</v>
      </c>
    </row>
    <row r="2" spans="1:20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>
        <v>0</v>
      </c>
      <c r="I2">
        <v>0</v>
      </c>
      <c r="J2">
        <v>0</v>
      </c>
      <c r="K2" s="2">
        <v>17</v>
      </c>
      <c r="L2" s="2">
        <v>75</v>
      </c>
      <c r="M2" s="2">
        <v>5.28</v>
      </c>
      <c r="N2" s="2">
        <v>1</v>
      </c>
      <c r="O2" s="2">
        <v>3.1</v>
      </c>
      <c r="P2" s="2">
        <v>658832.62</v>
      </c>
      <c r="Q2" s="2">
        <v>84349.93</v>
      </c>
      <c r="R2">
        <f>IF($D2="High Street", 1, 0)</f>
        <v>0</v>
      </c>
      <c r="S2">
        <f>IF($D2="Airport", 1, 0)</f>
        <v>0</v>
      </c>
      <c r="T2">
        <f>IF($D2="Mall", 1, 0)</f>
        <v>0</v>
      </c>
    </row>
    <row r="3" spans="1:20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>
        <v>0</v>
      </c>
      <c r="I3">
        <v>0</v>
      </c>
      <c r="J3">
        <v>0</v>
      </c>
      <c r="K3" s="2">
        <v>23</v>
      </c>
      <c r="L3" s="2">
        <v>84.4</v>
      </c>
      <c r="M3" s="2">
        <v>4.3099999999999996</v>
      </c>
      <c r="N3" s="2">
        <v>0</v>
      </c>
      <c r="O3" s="2">
        <v>2.8</v>
      </c>
      <c r="P3" s="2">
        <v>634436</v>
      </c>
      <c r="Q3" s="2">
        <v>106130.54</v>
      </c>
      <c r="R3">
        <f t="shared" ref="R3:R66" si="0">IF($D3="High Street", 1, 0)</f>
        <v>0</v>
      </c>
      <c r="S3">
        <f t="shared" ref="S3:S66" si="1">IF($D3="Airport", 1, 0)</f>
        <v>0</v>
      </c>
      <c r="T3">
        <f t="shared" ref="T3:T66" si="2">IF($D3="Mall", 1, 0)</f>
        <v>0</v>
      </c>
    </row>
    <row r="4" spans="1:20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>
        <v>0</v>
      </c>
      <c r="I4">
        <v>0</v>
      </c>
      <c r="J4">
        <v>0</v>
      </c>
      <c r="K4" s="2">
        <v>20</v>
      </c>
      <c r="L4" s="2">
        <v>88</v>
      </c>
      <c r="M4" s="2">
        <v>12</v>
      </c>
      <c r="N4" s="2">
        <v>0</v>
      </c>
      <c r="O4" s="2">
        <v>3.2</v>
      </c>
      <c r="P4" s="2">
        <v>678722.06</v>
      </c>
      <c r="Q4" s="2">
        <v>101883.86</v>
      </c>
      <c r="R4">
        <f t="shared" si="0"/>
        <v>0</v>
      </c>
      <c r="S4">
        <f t="shared" si="1"/>
        <v>0</v>
      </c>
      <c r="T4">
        <f t="shared" si="2"/>
        <v>0</v>
      </c>
    </row>
    <row r="5" spans="1:20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>
        <v>0</v>
      </c>
      <c r="I5">
        <v>0</v>
      </c>
      <c r="J5">
        <v>0</v>
      </c>
      <c r="K5" s="2">
        <v>23</v>
      </c>
      <c r="L5" s="2">
        <v>86.9</v>
      </c>
      <c r="M5" s="2">
        <v>4.97</v>
      </c>
      <c r="N5" s="2">
        <v>0</v>
      </c>
      <c r="O5" s="2">
        <v>3.4</v>
      </c>
      <c r="P5" s="2">
        <v>658920.30000000005</v>
      </c>
      <c r="Q5" s="2">
        <v>97910.37</v>
      </c>
      <c r="R5">
        <f t="shared" si="0"/>
        <v>0</v>
      </c>
      <c r="S5">
        <f t="shared" si="1"/>
        <v>0</v>
      </c>
      <c r="T5">
        <f t="shared" si="2"/>
        <v>0</v>
      </c>
    </row>
    <row r="6" spans="1:20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>
        <v>0</v>
      </c>
      <c r="I6">
        <v>0</v>
      </c>
      <c r="J6">
        <v>0</v>
      </c>
      <c r="K6" s="2">
        <v>21</v>
      </c>
      <c r="L6" s="2">
        <v>97.6</v>
      </c>
      <c r="M6" s="2">
        <v>6.94</v>
      </c>
      <c r="N6" s="2">
        <v>1</v>
      </c>
      <c r="O6" s="2">
        <v>4.2</v>
      </c>
      <c r="P6" s="2">
        <v>741341.44</v>
      </c>
      <c r="Q6" s="2">
        <v>119208.17</v>
      </c>
      <c r="R6">
        <f t="shared" si="0"/>
        <v>1</v>
      </c>
      <c r="S6">
        <f t="shared" si="1"/>
        <v>0</v>
      </c>
      <c r="T6">
        <f t="shared" si="2"/>
        <v>0</v>
      </c>
    </row>
    <row r="7" spans="1:20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>
        <v>0</v>
      </c>
      <c r="I7">
        <v>0</v>
      </c>
      <c r="J7">
        <v>0</v>
      </c>
      <c r="K7" s="2">
        <v>20</v>
      </c>
      <c r="L7" s="2">
        <v>84.2</v>
      </c>
      <c r="M7" s="2">
        <v>2.88</v>
      </c>
      <c r="N7" s="2">
        <v>0</v>
      </c>
      <c r="O7" s="2">
        <v>4.2</v>
      </c>
      <c r="P7" s="2">
        <v>761835.34</v>
      </c>
      <c r="Q7" s="2">
        <v>149602.23000000001</v>
      </c>
      <c r="R7">
        <f t="shared" si="0"/>
        <v>1</v>
      </c>
      <c r="S7">
        <f t="shared" si="1"/>
        <v>0</v>
      </c>
      <c r="T7">
        <f t="shared" si="2"/>
        <v>0</v>
      </c>
    </row>
    <row r="8" spans="1:20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>
        <v>0</v>
      </c>
      <c r="I8">
        <v>0</v>
      </c>
      <c r="J8">
        <v>0</v>
      </c>
      <c r="K8" s="2">
        <v>22</v>
      </c>
      <c r="L8" s="2">
        <v>85.2</v>
      </c>
      <c r="M8" s="2">
        <v>0.2</v>
      </c>
      <c r="N8" s="2">
        <v>1</v>
      </c>
      <c r="O8" s="2">
        <v>4.0999999999999996</v>
      </c>
      <c r="P8" s="2">
        <v>806615.54</v>
      </c>
      <c r="Q8" s="2">
        <v>131364.62</v>
      </c>
      <c r="R8">
        <f t="shared" si="0"/>
        <v>1</v>
      </c>
      <c r="S8">
        <f t="shared" si="1"/>
        <v>0</v>
      </c>
      <c r="T8">
        <f t="shared" si="2"/>
        <v>0</v>
      </c>
    </row>
    <row r="9" spans="1:20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>
        <v>0</v>
      </c>
      <c r="I9">
        <v>0</v>
      </c>
      <c r="J9">
        <v>0</v>
      </c>
      <c r="K9" s="2">
        <v>23</v>
      </c>
      <c r="L9" s="2">
        <v>95.6</v>
      </c>
      <c r="M9" s="2">
        <v>0.8</v>
      </c>
      <c r="N9" s="2">
        <v>0</v>
      </c>
      <c r="O9" s="2">
        <v>3.9</v>
      </c>
      <c r="P9" s="2">
        <v>850164.26</v>
      </c>
      <c r="Q9" s="2">
        <v>149262.75</v>
      </c>
      <c r="R9">
        <f t="shared" si="0"/>
        <v>1</v>
      </c>
      <c r="S9">
        <f t="shared" si="1"/>
        <v>0</v>
      </c>
      <c r="T9">
        <f t="shared" si="2"/>
        <v>0</v>
      </c>
    </row>
    <row r="10" spans="1:20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>
        <v>1</v>
      </c>
      <c r="I10">
        <v>0</v>
      </c>
      <c r="J10">
        <v>0</v>
      </c>
      <c r="K10" s="2">
        <v>26</v>
      </c>
      <c r="L10" s="2">
        <v>88.6</v>
      </c>
      <c r="M10" s="2">
        <v>7.7</v>
      </c>
      <c r="N10" s="2">
        <v>1</v>
      </c>
      <c r="O10" s="2">
        <v>3.8</v>
      </c>
      <c r="P10" s="2">
        <v>930581.7</v>
      </c>
      <c r="Q10" s="2">
        <v>136207.98000000001</v>
      </c>
      <c r="R10">
        <f t="shared" si="0"/>
        <v>0</v>
      </c>
      <c r="S10">
        <f t="shared" si="1"/>
        <v>1</v>
      </c>
      <c r="T10">
        <f t="shared" si="2"/>
        <v>0</v>
      </c>
    </row>
    <row r="11" spans="1:20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>
        <v>1</v>
      </c>
      <c r="I11">
        <v>0</v>
      </c>
      <c r="J11">
        <v>0</v>
      </c>
      <c r="K11" s="2">
        <v>21</v>
      </c>
      <c r="L11" s="2">
        <v>85</v>
      </c>
      <c r="M11" s="2">
        <v>1.91</v>
      </c>
      <c r="N11" s="2">
        <v>0</v>
      </c>
      <c r="O11" s="2">
        <v>4.2</v>
      </c>
      <c r="P11" s="2">
        <v>779010.94</v>
      </c>
      <c r="Q11" s="2">
        <v>106328.09</v>
      </c>
      <c r="R11">
        <f t="shared" si="0"/>
        <v>0</v>
      </c>
      <c r="S11">
        <f t="shared" si="1"/>
        <v>1</v>
      </c>
      <c r="T11">
        <f t="shared" si="2"/>
        <v>0</v>
      </c>
    </row>
    <row r="12" spans="1:20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>
        <v>1</v>
      </c>
      <c r="I12">
        <v>0</v>
      </c>
      <c r="J12">
        <v>0</v>
      </c>
      <c r="K12" s="2">
        <v>22</v>
      </c>
      <c r="L12" s="2">
        <v>88.3</v>
      </c>
      <c r="M12" s="2">
        <v>10.46</v>
      </c>
      <c r="N12" s="2">
        <v>1</v>
      </c>
      <c r="O12" s="2">
        <v>3.8</v>
      </c>
      <c r="P12" s="2">
        <v>723060.76</v>
      </c>
      <c r="Q12" s="2">
        <v>123131.24</v>
      </c>
      <c r="R12">
        <f t="shared" si="0"/>
        <v>0</v>
      </c>
      <c r="S12">
        <f t="shared" si="1"/>
        <v>1</v>
      </c>
      <c r="T12">
        <f t="shared" si="2"/>
        <v>0</v>
      </c>
    </row>
    <row r="13" spans="1:20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>
        <v>1</v>
      </c>
      <c r="I13">
        <v>0</v>
      </c>
      <c r="J13">
        <v>0</v>
      </c>
      <c r="K13" s="2">
        <v>28</v>
      </c>
      <c r="L13" s="2">
        <v>85.3</v>
      </c>
      <c r="M13" s="2">
        <v>7.16</v>
      </c>
      <c r="N13" s="2">
        <v>0</v>
      </c>
      <c r="O13" s="2">
        <v>3.8</v>
      </c>
      <c r="P13" s="2">
        <v>910791.94</v>
      </c>
      <c r="Q13" s="2">
        <v>158891.28</v>
      </c>
      <c r="R13">
        <f t="shared" si="0"/>
        <v>0</v>
      </c>
      <c r="S13">
        <f t="shared" si="1"/>
        <v>1</v>
      </c>
      <c r="T13">
        <f t="shared" si="2"/>
        <v>0</v>
      </c>
    </row>
    <row r="14" spans="1:20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>
        <v>0</v>
      </c>
      <c r="I14">
        <v>0</v>
      </c>
      <c r="J14">
        <v>0</v>
      </c>
      <c r="K14" s="2">
        <v>30</v>
      </c>
      <c r="L14" s="2">
        <v>81.7</v>
      </c>
      <c r="M14" s="2">
        <v>4.24</v>
      </c>
      <c r="N14" s="2">
        <v>1</v>
      </c>
      <c r="O14" s="2">
        <v>4.2</v>
      </c>
      <c r="P14" s="2">
        <v>922168.6</v>
      </c>
      <c r="Q14" s="2">
        <v>107494.53</v>
      </c>
      <c r="R14">
        <f t="shared" si="0"/>
        <v>0</v>
      </c>
      <c r="S14">
        <f t="shared" si="1"/>
        <v>0</v>
      </c>
      <c r="T14">
        <f t="shared" si="2"/>
        <v>0</v>
      </c>
    </row>
    <row r="15" spans="1:20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>
        <v>0</v>
      </c>
      <c r="I15">
        <v>0</v>
      </c>
      <c r="J15">
        <v>0</v>
      </c>
      <c r="K15" s="2">
        <v>24</v>
      </c>
      <c r="L15" s="2">
        <v>84.9</v>
      </c>
      <c r="M15" s="2">
        <v>1.06</v>
      </c>
      <c r="N15" s="2">
        <v>0</v>
      </c>
      <c r="O15" s="2">
        <v>4.3</v>
      </c>
      <c r="P15" s="2">
        <v>726606.28</v>
      </c>
      <c r="Q15" s="2">
        <v>122729.29</v>
      </c>
      <c r="R15">
        <f t="shared" si="0"/>
        <v>0</v>
      </c>
      <c r="S15">
        <f t="shared" si="1"/>
        <v>0</v>
      </c>
      <c r="T15">
        <f t="shared" si="2"/>
        <v>0</v>
      </c>
    </row>
    <row r="16" spans="1:20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>
        <v>0</v>
      </c>
      <c r="I16">
        <v>0</v>
      </c>
      <c r="J16">
        <v>0</v>
      </c>
      <c r="K16" s="2">
        <v>23</v>
      </c>
      <c r="L16" s="2">
        <v>88.8</v>
      </c>
      <c r="M16" s="2">
        <v>0.27</v>
      </c>
      <c r="N16" s="2">
        <v>0</v>
      </c>
      <c r="O16" s="2">
        <v>4.3</v>
      </c>
      <c r="P16" s="2">
        <v>746501.09</v>
      </c>
      <c r="Q16" s="2">
        <v>136816.72</v>
      </c>
      <c r="R16">
        <f t="shared" si="0"/>
        <v>0</v>
      </c>
      <c r="S16">
        <f t="shared" si="1"/>
        <v>0</v>
      </c>
      <c r="T16">
        <f t="shared" si="2"/>
        <v>0</v>
      </c>
    </row>
    <row r="17" spans="1:20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>
        <v>0</v>
      </c>
      <c r="I17">
        <v>0</v>
      </c>
      <c r="J17">
        <v>0</v>
      </c>
      <c r="K17" s="2">
        <v>26</v>
      </c>
      <c r="L17" s="2">
        <v>76.5</v>
      </c>
      <c r="M17" s="2">
        <v>1.32</v>
      </c>
      <c r="N17" s="2">
        <v>0</v>
      </c>
      <c r="O17" s="2">
        <v>4.5</v>
      </c>
      <c r="P17" s="2">
        <v>834017.02</v>
      </c>
      <c r="Q17" s="2">
        <v>114745.03</v>
      </c>
      <c r="R17">
        <f t="shared" si="0"/>
        <v>0</v>
      </c>
      <c r="S17">
        <f t="shared" si="1"/>
        <v>0</v>
      </c>
      <c r="T17">
        <f t="shared" si="2"/>
        <v>0</v>
      </c>
    </row>
    <row r="18" spans="1:20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>
        <v>0</v>
      </c>
      <c r="I18">
        <v>1</v>
      </c>
      <c r="J18">
        <v>0</v>
      </c>
      <c r="K18" s="2">
        <v>15</v>
      </c>
      <c r="L18" s="2">
        <v>87.7</v>
      </c>
      <c r="M18" s="2">
        <v>1.22</v>
      </c>
      <c r="N18" s="2">
        <v>0</v>
      </c>
      <c r="O18" s="2">
        <v>3.7</v>
      </c>
      <c r="P18" s="2">
        <v>666152.52</v>
      </c>
      <c r="Q18" s="2">
        <v>107490.58</v>
      </c>
      <c r="R18">
        <f t="shared" si="0"/>
        <v>0</v>
      </c>
      <c r="S18">
        <f t="shared" si="1"/>
        <v>0</v>
      </c>
      <c r="T18">
        <f t="shared" si="2"/>
        <v>0</v>
      </c>
    </row>
    <row r="19" spans="1:20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>
        <v>0</v>
      </c>
      <c r="I19">
        <v>1</v>
      </c>
      <c r="J19">
        <v>0</v>
      </c>
      <c r="K19" s="2">
        <v>9</v>
      </c>
      <c r="L19" s="2">
        <v>87.6</v>
      </c>
      <c r="M19" s="2">
        <v>4.01</v>
      </c>
      <c r="N19" s="2">
        <v>0</v>
      </c>
      <c r="O19" s="2">
        <v>3.6</v>
      </c>
      <c r="P19" s="2">
        <v>573155.18999999994</v>
      </c>
      <c r="Q19" s="2">
        <v>83680.75</v>
      </c>
      <c r="R19">
        <f t="shared" si="0"/>
        <v>0</v>
      </c>
      <c r="S19">
        <f t="shared" si="1"/>
        <v>0</v>
      </c>
      <c r="T19">
        <f t="shared" si="2"/>
        <v>0</v>
      </c>
    </row>
    <row r="20" spans="1:20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>
        <v>0</v>
      </c>
      <c r="I20">
        <v>1</v>
      </c>
      <c r="J20">
        <v>0</v>
      </c>
      <c r="K20" s="2">
        <v>15</v>
      </c>
      <c r="L20" s="2">
        <v>94.1</v>
      </c>
      <c r="M20" s="2">
        <v>0.2</v>
      </c>
      <c r="N20" s="2">
        <v>0</v>
      </c>
      <c r="O20" s="2">
        <v>3.9</v>
      </c>
      <c r="P20" s="2">
        <v>666573.19999999995</v>
      </c>
      <c r="Q20" s="2">
        <v>140641.01999999999</v>
      </c>
      <c r="R20">
        <f t="shared" si="0"/>
        <v>0</v>
      </c>
      <c r="S20">
        <f t="shared" si="1"/>
        <v>0</v>
      </c>
      <c r="T20">
        <f t="shared" si="2"/>
        <v>0</v>
      </c>
    </row>
    <row r="21" spans="1:20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>
        <v>0</v>
      </c>
      <c r="I21">
        <v>1</v>
      </c>
      <c r="J21">
        <v>0</v>
      </c>
      <c r="K21" s="2">
        <v>16</v>
      </c>
      <c r="L21" s="2">
        <v>88.3</v>
      </c>
      <c r="M21" s="2">
        <v>0.5</v>
      </c>
      <c r="N21" s="2">
        <v>0</v>
      </c>
      <c r="O21" s="2">
        <v>4</v>
      </c>
      <c r="P21" s="2">
        <v>591619.94999999995</v>
      </c>
      <c r="Q21" s="2">
        <v>99521.35</v>
      </c>
      <c r="R21">
        <f t="shared" si="0"/>
        <v>0</v>
      </c>
      <c r="S21">
        <f t="shared" si="1"/>
        <v>0</v>
      </c>
      <c r="T21">
        <f t="shared" si="2"/>
        <v>0</v>
      </c>
    </row>
    <row r="22" spans="1:20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>
        <v>1</v>
      </c>
      <c r="I22">
        <v>0</v>
      </c>
      <c r="J22">
        <v>0</v>
      </c>
      <c r="K22" s="2">
        <v>9</v>
      </c>
      <c r="L22" s="2">
        <v>84.8</v>
      </c>
      <c r="M22" s="2">
        <v>6.95</v>
      </c>
      <c r="N22" s="2">
        <v>0</v>
      </c>
      <c r="O22" s="2">
        <v>5</v>
      </c>
      <c r="P22" s="2">
        <v>415721.82</v>
      </c>
      <c r="Q22" s="2">
        <v>61179.15</v>
      </c>
      <c r="R22">
        <f t="shared" si="0"/>
        <v>0</v>
      </c>
      <c r="S22">
        <f t="shared" si="1"/>
        <v>0</v>
      </c>
      <c r="T22">
        <f t="shared" si="2"/>
        <v>0</v>
      </c>
    </row>
    <row r="23" spans="1:20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>
        <v>1</v>
      </c>
      <c r="I23">
        <v>0</v>
      </c>
      <c r="J23">
        <v>0</v>
      </c>
      <c r="K23" s="2">
        <v>8</v>
      </c>
      <c r="L23" s="2">
        <v>88.5</v>
      </c>
      <c r="M23" s="2">
        <v>0.2</v>
      </c>
      <c r="N23" s="2">
        <v>0</v>
      </c>
      <c r="O23" s="2">
        <v>5</v>
      </c>
      <c r="P23" s="2">
        <v>491905.13</v>
      </c>
      <c r="Q23" s="2">
        <v>79212.259999999995</v>
      </c>
      <c r="R23">
        <f t="shared" si="0"/>
        <v>0</v>
      </c>
      <c r="S23">
        <f t="shared" si="1"/>
        <v>0</v>
      </c>
      <c r="T23">
        <f t="shared" si="2"/>
        <v>0</v>
      </c>
    </row>
    <row r="24" spans="1:20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>
        <v>1</v>
      </c>
      <c r="I24">
        <v>0</v>
      </c>
      <c r="J24">
        <v>0</v>
      </c>
      <c r="K24" s="2">
        <v>13</v>
      </c>
      <c r="L24" s="2">
        <v>82</v>
      </c>
      <c r="M24" s="2">
        <v>1.61</v>
      </c>
      <c r="N24" s="2">
        <v>1</v>
      </c>
      <c r="O24" s="2">
        <v>4.5999999999999996</v>
      </c>
      <c r="P24" s="2">
        <v>555929.4</v>
      </c>
      <c r="Q24" s="2">
        <v>115201.76</v>
      </c>
      <c r="R24">
        <f t="shared" si="0"/>
        <v>0</v>
      </c>
      <c r="S24">
        <f t="shared" si="1"/>
        <v>0</v>
      </c>
      <c r="T24">
        <f t="shared" si="2"/>
        <v>0</v>
      </c>
    </row>
    <row r="25" spans="1:20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>
        <v>1</v>
      </c>
      <c r="I25">
        <v>0</v>
      </c>
      <c r="J25">
        <v>0</v>
      </c>
      <c r="K25" s="2">
        <v>12</v>
      </c>
      <c r="L25" s="2">
        <v>92.1</v>
      </c>
      <c r="M25" s="2">
        <v>1.55</v>
      </c>
      <c r="N25" s="2">
        <v>0</v>
      </c>
      <c r="O25" s="2">
        <v>4.7</v>
      </c>
      <c r="P25" s="2">
        <v>565810.99</v>
      </c>
      <c r="Q25" s="2">
        <v>77825.460000000006</v>
      </c>
      <c r="R25">
        <f t="shared" si="0"/>
        <v>0</v>
      </c>
      <c r="S25">
        <f t="shared" si="1"/>
        <v>0</v>
      </c>
      <c r="T25">
        <f t="shared" si="2"/>
        <v>0</v>
      </c>
    </row>
    <row r="26" spans="1:20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>
        <v>0</v>
      </c>
      <c r="I26">
        <v>0</v>
      </c>
      <c r="J26">
        <v>1</v>
      </c>
      <c r="K26" s="2">
        <v>25</v>
      </c>
      <c r="L26" s="2">
        <v>94.8</v>
      </c>
      <c r="M26" s="2">
        <v>2.99</v>
      </c>
      <c r="N26" s="2">
        <v>0</v>
      </c>
      <c r="O26" s="2">
        <v>3.5</v>
      </c>
      <c r="P26" s="2">
        <v>811771.14</v>
      </c>
      <c r="Q26" s="2">
        <v>148756.24</v>
      </c>
      <c r="R26">
        <f t="shared" si="0"/>
        <v>0</v>
      </c>
      <c r="S26">
        <f t="shared" si="1"/>
        <v>0</v>
      </c>
      <c r="T26">
        <f t="shared" si="2"/>
        <v>1</v>
      </c>
    </row>
    <row r="27" spans="1:20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>
        <v>0</v>
      </c>
      <c r="I27">
        <v>0</v>
      </c>
      <c r="J27">
        <v>1</v>
      </c>
      <c r="K27" s="2">
        <v>22</v>
      </c>
      <c r="L27" s="2">
        <v>86.2</v>
      </c>
      <c r="M27" s="2">
        <v>7.04</v>
      </c>
      <c r="N27" s="2">
        <v>0</v>
      </c>
      <c r="O27" s="2">
        <v>3.9</v>
      </c>
      <c r="P27" s="2">
        <v>800451.94</v>
      </c>
      <c r="Q27" s="2">
        <v>111572.29</v>
      </c>
      <c r="R27">
        <f t="shared" si="0"/>
        <v>0</v>
      </c>
      <c r="S27">
        <f t="shared" si="1"/>
        <v>0</v>
      </c>
      <c r="T27">
        <f t="shared" si="2"/>
        <v>1</v>
      </c>
    </row>
    <row r="28" spans="1:20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>
        <v>0</v>
      </c>
      <c r="I28">
        <v>0</v>
      </c>
      <c r="J28">
        <v>1</v>
      </c>
      <c r="K28" s="2">
        <v>23</v>
      </c>
      <c r="L28" s="2">
        <v>91.9</v>
      </c>
      <c r="M28" s="2">
        <v>4.9400000000000004</v>
      </c>
      <c r="N28" s="2">
        <v>0</v>
      </c>
      <c r="O28" s="2">
        <v>4</v>
      </c>
      <c r="P28" s="2">
        <v>783672.82</v>
      </c>
      <c r="Q28" s="2">
        <v>112577.14</v>
      </c>
      <c r="R28">
        <f t="shared" si="0"/>
        <v>0</v>
      </c>
      <c r="S28">
        <f t="shared" si="1"/>
        <v>0</v>
      </c>
      <c r="T28">
        <f t="shared" si="2"/>
        <v>1</v>
      </c>
    </row>
    <row r="29" spans="1:20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>
        <v>0</v>
      </c>
      <c r="I29">
        <v>0</v>
      </c>
      <c r="J29">
        <v>1</v>
      </c>
      <c r="K29" s="2">
        <v>16</v>
      </c>
      <c r="L29" s="2">
        <v>84.2</v>
      </c>
      <c r="M29" s="2">
        <v>16.149999999999999</v>
      </c>
      <c r="N29" s="2">
        <v>0</v>
      </c>
      <c r="O29" s="2">
        <v>3.7</v>
      </c>
      <c r="P29" s="2">
        <v>701641.97</v>
      </c>
      <c r="Q29" s="2">
        <v>106111.86</v>
      </c>
      <c r="R29">
        <f t="shared" si="0"/>
        <v>0</v>
      </c>
      <c r="S29">
        <f t="shared" si="1"/>
        <v>0</v>
      </c>
      <c r="T29">
        <f t="shared" si="2"/>
        <v>1</v>
      </c>
    </row>
    <row r="30" spans="1:20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>
        <v>0</v>
      </c>
      <c r="I30">
        <v>0</v>
      </c>
      <c r="J30">
        <v>0</v>
      </c>
      <c r="K30" s="2">
        <v>11</v>
      </c>
      <c r="L30" s="2">
        <v>85</v>
      </c>
      <c r="M30" s="2">
        <v>0.48</v>
      </c>
      <c r="N30" s="2">
        <v>0</v>
      </c>
      <c r="O30" s="2">
        <v>3.6</v>
      </c>
      <c r="P30" s="2">
        <v>511844.41</v>
      </c>
      <c r="Q30" s="2">
        <v>72774.44</v>
      </c>
      <c r="R30">
        <f t="shared" si="0"/>
        <v>0</v>
      </c>
      <c r="S30">
        <f t="shared" si="1"/>
        <v>0</v>
      </c>
      <c r="T30">
        <f t="shared" si="2"/>
        <v>0</v>
      </c>
    </row>
    <row r="31" spans="1:20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>
        <v>0</v>
      </c>
      <c r="I31">
        <v>0</v>
      </c>
      <c r="J31">
        <v>0</v>
      </c>
      <c r="K31" s="2">
        <v>9</v>
      </c>
      <c r="L31" s="2">
        <v>87.5</v>
      </c>
      <c r="M31" s="2">
        <v>0.31</v>
      </c>
      <c r="N31" s="2">
        <v>0</v>
      </c>
      <c r="O31" s="2">
        <v>3.1</v>
      </c>
      <c r="P31" s="2">
        <v>537383.79</v>
      </c>
      <c r="Q31" s="2">
        <v>63773.27</v>
      </c>
      <c r="R31">
        <f t="shared" si="0"/>
        <v>0</v>
      </c>
      <c r="S31">
        <f t="shared" si="1"/>
        <v>0</v>
      </c>
      <c r="T31">
        <f t="shared" si="2"/>
        <v>0</v>
      </c>
    </row>
    <row r="32" spans="1:20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>
        <v>0</v>
      </c>
      <c r="I32">
        <v>0</v>
      </c>
      <c r="J32">
        <v>0</v>
      </c>
      <c r="K32" s="2">
        <v>11</v>
      </c>
      <c r="L32" s="2">
        <v>87.6</v>
      </c>
      <c r="M32" s="2">
        <v>3.01</v>
      </c>
      <c r="N32" s="2">
        <v>1</v>
      </c>
      <c r="O32" s="2">
        <v>3.7</v>
      </c>
      <c r="P32" s="2">
        <v>500173.02</v>
      </c>
      <c r="Q32" s="2">
        <v>70982.05</v>
      </c>
      <c r="R32">
        <f t="shared" si="0"/>
        <v>0</v>
      </c>
      <c r="S32">
        <f t="shared" si="1"/>
        <v>0</v>
      </c>
      <c r="T32">
        <f t="shared" si="2"/>
        <v>0</v>
      </c>
    </row>
    <row r="33" spans="1:20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>
        <v>0</v>
      </c>
      <c r="I33">
        <v>0</v>
      </c>
      <c r="J33">
        <v>0</v>
      </c>
      <c r="K33" s="2">
        <v>5</v>
      </c>
      <c r="L33" s="2">
        <v>89.9</v>
      </c>
      <c r="M33" s="2">
        <v>12.15</v>
      </c>
      <c r="N33" s="2">
        <v>0</v>
      </c>
      <c r="O33" s="2">
        <v>3.6</v>
      </c>
      <c r="P33" s="2">
        <v>427917.38</v>
      </c>
      <c r="Q33" s="2">
        <v>81824.31</v>
      </c>
      <c r="R33">
        <f t="shared" si="0"/>
        <v>0</v>
      </c>
      <c r="S33">
        <f t="shared" si="1"/>
        <v>0</v>
      </c>
      <c r="T33">
        <f t="shared" si="2"/>
        <v>0</v>
      </c>
    </row>
    <row r="34" spans="1:20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>
        <v>1</v>
      </c>
      <c r="I34">
        <v>0</v>
      </c>
      <c r="J34">
        <v>0</v>
      </c>
      <c r="K34" s="2">
        <v>21</v>
      </c>
      <c r="L34" s="2">
        <v>83.3</v>
      </c>
      <c r="M34" s="2">
        <v>11.71</v>
      </c>
      <c r="N34" s="2">
        <v>0</v>
      </c>
      <c r="O34" s="2">
        <v>4.2</v>
      </c>
      <c r="P34" s="2">
        <v>641865.03</v>
      </c>
      <c r="Q34" s="2">
        <v>81342.58</v>
      </c>
      <c r="R34">
        <f t="shared" si="0"/>
        <v>0</v>
      </c>
      <c r="S34">
        <f t="shared" si="1"/>
        <v>0</v>
      </c>
      <c r="T34">
        <f t="shared" si="2"/>
        <v>0</v>
      </c>
    </row>
    <row r="35" spans="1:20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>
        <v>1</v>
      </c>
      <c r="I35">
        <v>0</v>
      </c>
      <c r="J35">
        <v>0</v>
      </c>
      <c r="K35" s="2">
        <v>25</v>
      </c>
      <c r="L35" s="2">
        <v>84.7</v>
      </c>
      <c r="M35" s="2">
        <v>0.62</v>
      </c>
      <c r="N35" s="2">
        <v>0</v>
      </c>
      <c r="O35" s="2"/>
      <c r="P35" s="2">
        <v>799477.76000000001</v>
      </c>
      <c r="Q35" s="2">
        <v>164974.41</v>
      </c>
      <c r="R35">
        <f t="shared" si="0"/>
        <v>0</v>
      </c>
      <c r="S35">
        <f t="shared" si="1"/>
        <v>0</v>
      </c>
      <c r="T35">
        <f t="shared" si="2"/>
        <v>0</v>
      </c>
    </row>
    <row r="36" spans="1:20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>
        <v>1</v>
      </c>
      <c r="I36">
        <v>0</v>
      </c>
      <c r="J36">
        <v>0</v>
      </c>
      <c r="K36" s="2">
        <v>23</v>
      </c>
      <c r="L36" s="2">
        <v>92.1</v>
      </c>
      <c r="M36" s="2">
        <v>2.12</v>
      </c>
      <c r="N36" s="2">
        <v>0</v>
      </c>
      <c r="O36" s="2">
        <v>3.5</v>
      </c>
      <c r="P36" s="2">
        <v>798952.17</v>
      </c>
      <c r="Q36" s="2">
        <v>161499.04</v>
      </c>
      <c r="R36">
        <f t="shared" si="0"/>
        <v>0</v>
      </c>
      <c r="S36">
        <f t="shared" si="1"/>
        <v>0</v>
      </c>
      <c r="T36">
        <f t="shared" si="2"/>
        <v>0</v>
      </c>
    </row>
    <row r="37" spans="1:20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>
        <v>1</v>
      </c>
      <c r="I37">
        <v>0</v>
      </c>
      <c r="J37">
        <v>0</v>
      </c>
      <c r="K37" s="2">
        <v>25</v>
      </c>
      <c r="L37" s="2">
        <v>99</v>
      </c>
      <c r="M37" s="2">
        <v>6.31</v>
      </c>
      <c r="N37" s="2">
        <v>0</v>
      </c>
      <c r="O37" s="2">
        <v>3.6</v>
      </c>
      <c r="P37" s="2">
        <v>800979.78</v>
      </c>
      <c r="Q37" s="2">
        <v>149242.26999999999</v>
      </c>
      <c r="R37">
        <f t="shared" si="0"/>
        <v>0</v>
      </c>
      <c r="S37">
        <f t="shared" si="1"/>
        <v>0</v>
      </c>
      <c r="T37">
        <f t="shared" si="2"/>
        <v>0</v>
      </c>
    </row>
    <row r="38" spans="1:20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>
        <v>1</v>
      </c>
      <c r="I38">
        <v>0</v>
      </c>
      <c r="J38">
        <v>0</v>
      </c>
      <c r="K38" s="2">
        <v>21</v>
      </c>
      <c r="L38" s="2">
        <v>83.1</v>
      </c>
      <c r="M38" s="2">
        <v>9.56</v>
      </c>
      <c r="N38" s="2">
        <v>1</v>
      </c>
      <c r="O38" s="2">
        <v>4.2</v>
      </c>
      <c r="P38" s="2">
        <v>820593.93</v>
      </c>
      <c r="Q38" s="2">
        <v>115860.06</v>
      </c>
      <c r="R38">
        <f t="shared" si="0"/>
        <v>0</v>
      </c>
      <c r="S38">
        <f t="shared" si="1"/>
        <v>0</v>
      </c>
      <c r="T38">
        <f t="shared" si="2"/>
        <v>1</v>
      </c>
    </row>
    <row r="39" spans="1:20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>
        <v>1</v>
      </c>
      <c r="I39">
        <v>0</v>
      </c>
      <c r="J39">
        <v>0</v>
      </c>
      <c r="K39" s="2">
        <v>19</v>
      </c>
      <c r="L39" s="2">
        <v>92.9</v>
      </c>
      <c r="M39" s="2">
        <v>9.0500000000000007</v>
      </c>
      <c r="N39" s="2">
        <v>0</v>
      </c>
      <c r="O39" s="2">
        <v>3.8</v>
      </c>
      <c r="P39" s="2">
        <v>718330.53</v>
      </c>
      <c r="Q39" s="2">
        <v>93247.9</v>
      </c>
      <c r="R39">
        <f t="shared" si="0"/>
        <v>0</v>
      </c>
      <c r="S39">
        <f t="shared" si="1"/>
        <v>0</v>
      </c>
      <c r="T39">
        <f t="shared" si="2"/>
        <v>1</v>
      </c>
    </row>
    <row r="40" spans="1:20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>
        <v>1</v>
      </c>
      <c r="I40">
        <v>0</v>
      </c>
      <c r="J40">
        <v>0</v>
      </c>
      <c r="K40" s="2">
        <v>19</v>
      </c>
      <c r="L40" s="2">
        <v>82.9</v>
      </c>
      <c r="M40" s="2">
        <v>5.05</v>
      </c>
      <c r="N40" s="2">
        <v>0</v>
      </c>
      <c r="O40" s="2">
        <v>4</v>
      </c>
      <c r="P40" s="2">
        <v>736633.4</v>
      </c>
      <c r="Q40" s="2">
        <v>115654.66</v>
      </c>
      <c r="R40">
        <f t="shared" si="0"/>
        <v>0</v>
      </c>
      <c r="S40">
        <f t="shared" si="1"/>
        <v>0</v>
      </c>
      <c r="T40">
        <f t="shared" si="2"/>
        <v>1</v>
      </c>
    </row>
    <row r="41" spans="1:20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>
        <v>1</v>
      </c>
      <c r="I41">
        <v>0</v>
      </c>
      <c r="J41">
        <v>0</v>
      </c>
      <c r="K41" s="2">
        <v>24</v>
      </c>
      <c r="L41" s="2">
        <v>98.3</v>
      </c>
      <c r="M41" s="2">
        <v>0.89</v>
      </c>
      <c r="N41" s="2">
        <v>0</v>
      </c>
      <c r="O41" s="2">
        <v>3.8</v>
      </c>
      <c r="P41" s="2">
        <v>828623.85</v>
      </c>
      <c r="Q41" s="2">
        <v>167320.51999999999</v>
      </c>
      <c r="R41">
        <f t="shared" si="0"/>
        <v>0</v>
      </c>
      <c r="S41">
        <f t="shared" si="1"/>
        <v>0</v>
      </c>
      <c r="T41">
        <f t="shared" si="2"/>
        <v>1</v>
      </c>
    </row>
    <row r="42" spans="1:20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>
        <v>0</v>
      </c>
      <c r="I42">
        <v>0</v>
      </c>
      <c r="J42">
        <v>0</v>
      </c>
      <c r="K42" s="2">
        <v>11</v>
      </c>
      <c r="L42" s="2">
        <v>95.2</v>
      </c>
      <c r="M42" s="2">
        <v>5.57</v>
      </c>
      <c r="N42" s="2">
        <v>0</v>
      </c>
      <c r="O42" s="2">
        <v>4.4000000000000004</v>
      </c>
      <c r="P42" s="2">
        <v>592195.85</v>
      </c>
      <c r="Q42" s="2">
        <v>92291.56</v>
      </c>
      <c r="R42">
        <f t="shared" si="0"/>
        <v>0</v>
      </c>
      <c r="S42">
        <f t="shared" si="1"/>
        <v>0</v>
      </c>
      <c r="T42">
        <f t="shared" si="2"/>
        <v>1</v>
      </c>
    </row>
    <row r="43" spans="1:20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>
        <v>0</v>
      </c>
      <c r="I43">
        <v>0</v>
      </c>
      <c r="J43">
        <v>0</v>
      </c>
      <c r="K43" s="2">
        <v>10</v>
      </c>
      <c r="L43" s="2">
        <v>75.400000000000006</v>
      </c>
      <c r="M43" s="2">
        <v>1.06</v>
      </c>
      <c r="N43" s="2">
        <v>0</v>
      </c>
      <c r="O43" s="2">
        <v>4.4000000000000004</v>
      </c>
      <c r="P43" s="2">
        <v>532644.46</v>
      </c>
      <c r="Q43" s="2">
        <v>60681.32</v>
      </c>
      <c r="R43">
        <f t="shared" si="0"/>
        <v>0</v>
      </c>
      <c r="S43">
        <f t="shared" si="1"/>
        <v>0</v>
      </c>
      <c r="T43">
        <f t="shared" si="2"/>
        <v>1</v>
      </c>
    </row>
    <row r="44" spans="1:20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>
        <v>0</v>
      </c>
      <c r="I44">
        <v>0</v>
      </c>
      <c r="J44">
        <v>0</v>
      </c>
      <c r="K44" s="2">
        <v>14</v>
      </c>
      <c r="L44" s="2">
        <v>88.2</v>
      </c>
      <c r="M44" s="2">
        <v>1.24</v>
      </c>
      <c r="N44" s="2">
        <v>1</v>
      </c>
      <c r="O44" s="2">
        <v>4</v>
      </c>
      <c r="P44" s="2">
        <v>657429.18000000005</v>
      </c>
      <c r="Q44" s="2">
        <v>88919.74</v>
      </c>
      <c r="R44">
        <f t="shared" si="0"/>
        <v>0</v>
      </c>
      <c r="S44">
        <f t="shared" si="1"/>
        <v>0</v>
      </c>
      <c r="T44">
        <f t="shared" si="2"/>
        <v>1</v>
      </c>
    </row>
    <row r="45" spans="1:20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>
        <v>0</v>
      </c>
      <c r="I45">
        <v>0</v>
      </c>
      <c r="J45">
        <v>0</v>
      </c>
      <c r="K45" s="2">
        <v>13</v>
      </c>
      <c r="L45" s="2">
        <v>87.8</v>
      </c>
      <c r="M45" s="2">
        <v>4.5199999999999996</v>
      </c>
      <c r="N45" s="2">
        <v>0</v>
      </c>
      <c r="O45" s="2">
        <v>4.2</v>
      </c>
      <c r="P45" s="2">
        <v>605178</v>
      </c>
      <c r="Q45" s="2">
        <v>106958.74</v>
      </c>
      <c r="R45">
        <f t="shared" si="0"/>
        <v>0</v>
      </c>
      <c r="S45">
        <f t="shared" si="1"/>
        <v>0</v>
      </c>
      <c r="T45">
        <f t="shared" si="2"/>
        <v>1</v>
      </c>
    </row>
    <row r="46" spans="1:20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>
        <v>0</v>
      </c>
      <c r="I46">
        <v>0</v>
      </c>
      <c r="J46">
        <v>1</v>
      </c>
      <c r="K46" s="2">
        <v>17</v>
      </c>
      <c r="L46" s="2">
        <v>88.2</v>
      </c>
      <c r="M46" s="2">
        <v>9.58</v>
      </c>
      <c r="N46" s="2">
        <v>0</v>
      </c>
      <c r="O46" s="2">
        <v>3.2</v>
      </c>
      <c r="P46" s="2">
        <v>595467.6</v>
      </c>
      <c r="Q46" s="2">
        <v>104276.46</v>
      </c>
      <c r="R46">
        <f t="shared" si="0"/>
        <v>0</v>
      </c>
      <c r="S46">
        <f t="shared" si="1"/>
        <v>0</v>
      </c>
      <c r="T46">
        <f t="shared" si="2"/>
        <v>0</v>
      </c>
    </row>
    <row r="47" spans="1:20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>
        <v>0</v>
      </c>
      <c r="I47">
        <v>0</v>
      </c>
      <c r="J47">
        <v>1</v>
      </c>
      <c r="K47" s="2">
        <v>14</v>
      </c>
      <c r="L47" s="2">
        <v>98.6</v>
      </c>
      <c r="M47" s="2">
        <v>5.52</v>
      </c>
      <c r="N47" s="2">
        <v>0</v>
      </c>
      <c r="O47" s="2">
        <v>3.5</v>
      </c>
      <c r="P47" s="2">
        <v>599603.4</v>
      </c>
      <c r="Q47" s="2">
        <v>112685.12</v>
      </c>
      <c r="R47">
        <f t="shared" si="0"/>
        <v>0</v>
      </c>
      <c r="S47">
        <f t="shared" si="1"/>
        <v>0</v>
      </c>
      <c r="T47">
        <f t="shared" si="2"/>
        <v>0</v>
      </c>
    </row>
    <row r="48" spans="1:20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>
        <v>0</v>
      </c>
      <c r="I48">
        <v>0</v>
      </c>
      <c r="J48">
        <v>1</v>
      </c>
      <c r="K48" s="2">
        <v>11</v>
      </c>
      <c r="L48" s="2">
        <v>90.9</v>
      </c>
      <c r="M48" s="2">
        <v>2.7</v>
      </c>
      <c r="N48" s="2">
        <v>1</v>
      </c>
      <c r="O48" s="2">
        <v>3.2</v>
      </c>
      <c r="P48" s="2">
        <v>614800.09</v>
      </c>
      <c r="Q48" s="2">
        <v>100044.2</v>
      </c>
      <c r="R48">
        <f t="shared" si="0"/>
        <v>0</v>
      </c>
      <c r="S48">
        <f t="shared" si="1"/>
        <v>0</v>
      </c>
      <c r="T48">
        <f t="shared" si="2"/>
        <v>0</v>
      </c>
    </row>
    <row r="49" spans="1:20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>
        <v>0</v>
      </c>
      <c r="I49">
        <v>0</v>
      </c>
      <c r="J49">
        <v>1</v>
      </c>
      <c r="K49" s="2">
        <v>15</v>
      </c>
      <c r="L49" s="2">
        <v>88</v>
      </c>
      <c r="M49" s="2">
        <v>9.64</v>
      </c>
      <c r="N49" s="2">
        <v>0</v>
      </c>
      <c r="O49" s="2">
        <v>3.3</v>
      </c>
      <c r="P49" s="2">
        <v>585365.73</v>
      </c>
      <c r="Q49" s="2">
        <v>81011.520000000004</v>
      </c>
      <c r="R49">
        <f t="shared" si="0"/>
        <v>0</v>
      </c>
      <c r="S49">
        <f t="shared" si="1"/>
        <v>0</v>
      </c>
      <c r="T49">
        <f t="shared" si="2"/>
        <v>0</v>
      </c>
    </row>
    <row r="50" spans="1:20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>
        <v>1</v>
      </c>
      <c r="I50">
        <v>0</v>
      </c>
      <c r="J50">
        <v>0</v>
      </c>
      <c r="K50" s="2">
        <v>11</v>
      </c>
      <c r="L50" s="2">
        <v>97.3</v>
      </c>
      <c r="M50" s="2">
        <v>3.49</v>
      </c>
      <c r="N50" s="2">
        <v>1</v>
      </c>
      <c r="O50" s="2">
        <v>4.7</v>
      </c>
      <c r="P50" s="2">
        <v>622811.74</v>
      </c>
      <c r="Q50" s="2">
        <v>109978.35</v>
      </c>
      <c r="R50">
        <f t="shared" si="0"/>
        <v>0</v>
      </c>
      <c r="S50">
        <f t="shared" si="1"/>
        <v>0</v>
      </c>
      <c r="T50">
        <f t="shared" si="2"/>
        <v>1</v>
      </c>
    </row>
    <row r="51" spans="1:20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>
        <v>1</v>
      </c>
      <c r="I51">
        <v>0</v>
      </c>
      <c r="J51">
        <v>0</v>
      </c>
      <c r="K51" s="2">
        <v>14</v>
      </c>
      <c r="L51" s="2">
        <v>71</v>
      </c>
      <c r="M51" s="2">
        <v>9.11</v>
      </c>
      <c r="N51" s="2">
        <v>0</v>
      </c>
      <c r="O51" s="2">
        <v>4.5999999999999996</v>
      </c>
      <c r="P51" s="2">
        <v>603297.56999999995</v>
      </c>
      <c r="Q51" s="2">
        <v>60592.26</v>
      </c>
      <c r="R51">
        <f t="shared" si="0"/>
        <v>0</v>
      </c>
      <c r="S51">
        <f t="shared" si="1"/>
        <v>0</v>
      </c>
      <c r="T51">
        <f t="shared" si="2"/>
        <v>1</v>
      </c>
    </row>
    <row r="52" spans="1:20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>
        <v>1</v>
      </c>
      <c r="I52">
        <v>0</v>
      </c>
      <c r="J52">
        <v>0</v>
      </c>
      <c r="K52" s="2">
        <v>12</v>
      </c>
      <c r="L52" s="2">
        <v>80.400000000000006</v>
      </c>
      <c r="M52" s="2">
        <v>7.4</v>
      </c>
      <c r="N52" s="2">
        <v>0</v>
      </c>
      <c r="O52" s="2">
        <v>4.5</v>
      </c>
      <c r="P52" s="2">
        <v>625672.86</v>
      </c>
      <c r="Q52" s="2">
        <v>118020.12</v>
      </c>
      <c r="R52">
        <f t="shared" si="0"/>
        <v>0</v>
      </c>
      <c r="S52">
        <f t="shared" si="1"/>
        <v>0</v>
      </c>
      <c r="T52">
        <f t="shared" si="2"/>
        <v>1</v>
      </c>
    </row>
    <row r="53" spans="1:20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>
        <v>1</v>
      </c>
      <c r="I53">
        <v>0</v>
      </c>
      <c r="J53">
        <v>0</v>
      </c>
      <c r="K53" s="2">
        <v>19</v>
      </c>
      <c r="L53" s="2">
        <v>93.7</v>
      </c>
      <c r="M53" s="2">
        <v>7.16</v>
      </c>
      <c r="N53" s="2">
        <v>0</v>
      </c>
      <c r="O53" s="2">
        <v>4.5999999999999996</v>
      </c>
      <c r="P53" s="2">
        <v>773815.14</v>
      </c>
      <c r="Q53" s="2">
        <v>133948.39000000001</v>
      </c>
      <c r="R53">
        <f t="shared" si="0"/>
        <v>0</v>
      </c>
      <c r="S53">
        <f t="shared" si="1"/>
        <v>0</v>
      </c>
      <c r="T53">
        <f t="shared" si="2"/>
        <v>1</v>
      </c>
    </row>
    <row r="54" spans="1:20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>
        <v>0</v>
      </c>
      <c r="I54">
        <v>0</v>
      </c>
      <c r="J54">
        <v>1</v>
      </c>
      <c r="K54" s="2">
        <v>9</v>
      </c>
      <c r="L54" s="2">
        <v>84.3</v>
      </c>
      <c r="M54" s="2">
        <v>22.02</v>
      </c>
      <c r="N54" s="2">
        <v>0</v>
      </c>
      <c r="O54" s="2">
        <v>3.9</v>
      </c>
      <c r="P54" s="2">
        <v>463534.25</v>
      </c>
      <c r="Q54" s="2">
        <v>81834.539999999994</v>
      </c>
      <c r="R54">
        <f t="shared" si="0"/>
        <v>1</v>
      </c>
      <c r="S54">
        <f t="shared" si="1"/>
        <v>0</v>
      </c>
      <c r="T54">
        <f t="shared" si="2"/>
        <v>0</v>
      </c>
    </row>
    <row r="55" spans="1:20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>
        <v>0</v>
      </c>
      <c r="I55">
        <v>0</v>
      </c>
      <c r="J55">
        <v>1</v>
      </c>
      <c r="K55" s="2">
        <v>14</v>
      </c>
      <c r="L55" s="2">
        <v>88.7</v>
      </c>
      <c r="M55" s="2">
        <v>6.18</v>
      </c>
      <c r="N55" s="2">
        <v>0</v>
      </c>
      <c r="O55" s="2">
        <v>4.7</v>
      </c>
      <c r="P55" s="2">
        <v>746677.75</v>
      </c>
      <c r="Q55" s="2">
        <v>122437.84</v>
      </c>
      <c r="R55">
        <f t="shared" si="0"/>
        <v>1</v>
      </c>
      <c r="S55">
        <f t="shared" si="1"/>
        <v>0</v>
      </c>
      <c r="T55">
        <f t="shared" si="2"/>
        <v>0</v>
      </c>
    </row>
    <row r="56" spans="1:20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>
        <v>0</v>
      </c>
      <c r="I56">
        <v>0</v>
      </c>
      <c r="J56">
        <v>1</v>
      </c>
      <c r="K56" s="2">
        <v>14</v>
      </c>
      <c r="L56" s="2">
        <v>88</v>
      </c>
      <c r="M56" s="2">
        <v>1.76</v>
      </c>
      <c r="N56" s="2">
        <v>0</v>
      </c>
      <c r="O56" s="2">
        <v>4.3</v>
      </c>
      <c r="P56" s="2">
        <v>720852.5</v>
      </c>
      <c r="Q56" s="2">
        <v>98565.62</v>
      </c>
      <c r="R56">
        <f t="shared" si="0"/>
        <v>1</v>
      </c>
      <c r="S56">
        <f t="shared" si="1"/>
        <v>0</v>
      </c>
      <c r="T56">
        <f t="shared" si="2"/>
        <v>0</v>
      </c>
    </row>
    <row r="57" spans="1:20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>
        <v>0</v>
      </c>
      <c r="I57">
        <v>0</v>
      </c>
      <c r="J57">
        <v>1</v>
      </c>
      <c r="K57" s="2">
        <v>13</v>
      </c>
      <c r="L57" s="2">
        <v>89.3</v>
      </c>
      <c r="M57" s="2">
        <v>0.47</v>
      </c>
      <c r="N57" s="2">
        <v>0</v>
      </c>
      <c r="O57" s="2">
        <v>4.0999999999999996</v>
      </c>
      <c r="P57" s="2">
        <v>487464.91</v>
      </c>
      <c r="Q57" s="2">
        <v>64562.26</v>
      </c>
      <c r="R57">
        <f t="shared" si="0"/>
        <v>1</v>
      </c>
      <c r="S57">
        <f t="shared" si="1"/>
        <v>0</v>
      </c>
      <c r="T57">
        <f t="shared" si="2"/>
        <v>0</v>
      </c>
    </row>
    <row r="58" spans="1:20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>
        <v>0</v>
      </c>
      <c r="I58">
        <v>0</v>
      </c>
      <c r="J58">
        <v>0</v>
      </c>
      <c r="K58" s="2">
        <v>12</v>
      </c>
      <c r="L58" s="2">
        <v>94.8</v>
      </c>
      <c r="M58" s="2">
        <v>0.2</v>
      </c>
      <c r="N58" s="2">
        <v>0</v>
      </c>
      <c r="O58" s="2">
        <v>3.5</v>
      </c>
      <c r="P58" s="2">
        <v>518049.26</v>
      </c>
      <c r="Q58" s="2">
        <v>108592.49</v>
      </c>
      <c r="R58">
        <f t="shared" si="0"/>
        <v>0</v>
      </c>
      <c r="S58">
        <f t="shared" si="1"/>
        <v>1</v>
      </c>
      <c r="T58">
        <f t="shared" si="2"/>
        <v>0</v>
      </c>
    </row>
    <row r="59" spans="1:20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>
        <v>0</v>
      </c>
      <c r="I59">
        <v>0</v>
      </c>
      <c r="J59">
        <v>0</v>
      </c>
      <c r="K59" s="2">
        <v>12</v>
      </c>
      <c r="L59" s="2">
        <v>76</v>
      </c>
      <c r="M59" s="2">
        <v>5.1100000000000003</v>
      </c>
      <c r="N59" s="2">
        <v>0</v>
      </c>
      <c r="O59" s="2">
        <v>3.7</v>
      </c>
      <c r="P59" s="2">
        <v>500298.48</v>
      </c>
      <c r="Q59" s="2">
        <v>73461.320000000007</v>
      </c>
      <c r="R59">
        <f t="shared" si="0"/>
        <v>0</v>
      </c>
      <c r="S59">
        <f t="shared" si="1"/>
        <v>1</v>
      </c>
      <c r="T59">
        <f t="shared" si="2"/>
        <v>0</v>
      </c>
    </row>
    <row r="60" spans="1:20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>
        <v>0</v>
      </c>
      <c r="I60">
        <v>0</v>
      </c>
      <c r="J60">
        <v>0</v>
      </c>
      <c r="K60" s="2">
        <v>11</v>
      </c>
      <c r="L60" s="2">
        <v>87.1</v>
      </c>
      <c r="M60" s="2">
        <v>0.2</v>
      </c>
      <c r="N60" s="2">
        <v>0</v>
      </c>
      <c r="O60" s="2">
        <v>3.1</v>
      </c>
      <c r="P60" s="2">
        <v>617291.15</v>
      </c>
      <c r="Q60" s="2">
        <v>117782</v>
      </c>
      <c r="R60">
        <f t="shared" si="0"/>
        <v>0</v>
      </c>
      <c r="S60">
        <f t="shared" si="1"/>
        <v>1</v>
      </c>
      <c r="T60">
        <f t="shared" si="2"/>
        <v>0</v>
      </c>
    </row>
    <row r="61" spans="1:20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>
        <v>0</v>
      </c>
      <c r="I61">
        <v>0</v>
      </c>
      <c r="J61">
        <v>0</v>
      </c>
      <c r="K61" s="2">
        <v>14</v>
      </c>
      <c r="L61" s="2">
        <v>88.6</v>
      </c>
      <c r="M61" s="2">
        <v>13.59</v>
      </c>
      <c r="N61" s="2">
        <v>0</v>
      </c>
      <c r="O61" s="2">
        <v>3.1</v>
      </c>
      <c r="P61" s="2">
        <v>553756.43000000005</v>
      </c>
      <c r="Q61" s="2">
        <v>86166.77</v>
      </c>
      <c r="R61">
        <f t="shared" si="0"/>
        <v>0</v>
      </c>
      <c r="S61">
        <f t="shared" si="1"/>
        <v>1</v>
      </c>
      <c r="T61">
        <f t="shared" si="2"/>
        <v>0</v>
      </c>
    </row>
    <row r="62" spans="1:20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>
        <v>0</v>
      </c>
      <c r="I62">
        <v>1</v>
      </c>
      <c r="J62">
        <v>0</v>
      </c>
      <c r="K62" s="2">
        <v>16</v>
      </c>
      <c r="L62" s="2">
        <v>95.6</v>
      </c>
      <c r="M62" s="2">
        <v>1.02</v>
      </c>
      <c r="N62" s="2">
        <v>0</v>
      </c>
      <c r="O62" s="2">
        <v>3.7</v>
      </c>
      <c r="P62" s="2">
        <v>749559.71</v>
      </c>
      <c r="Q62" s="2">
        <v>144522.53</v>
      </c>
      <c r="R62">
        <f t="shared" si="0"/>
        <v>1</v>
      </c>
      <c r="S62">
        <f t="shared" si="1"/>
        <v>0</v>
      </c>
      <c r="T62">
        <f t="shared" si="2"/>
        <v>0</v>
      </c>
    </row>
    <row r="63" spans="1:20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>
        <v>0</v>
      </c>
      <c r="I63">
        <v>1</v>
      </c>
      <c r="J63">
        <v>0</v>
      </c>
      <c r="K63" s="2">
        <v>12</v>
      </c>
      <c r="L63" s="2">
        <v>86.5</v>
      </c>
      <c r="M63" s="2">
        <v>1.64</v>
      </c>
      <c r="N63" s="2">
        <v>0</v>
      </c>
      <c r="O63" s="2">
        <v>3.8</v>
      </c>
      <c r="P63" s="2">
        <v>615966.48</v>
      </c>
      <c r="Q63" s="2">
        <v>91509.38</v>
      </c>
      <c r="R63">
        <f t="shared" si="0"/>
        <v>1</v>
      </c>
      <c r="S63">
        <f t="shared" si="1"/>
        <v>0</v>
      </c>
      <c r="T63">
        <f t="shared" si="2"/>
        <v>0</v>
      </c>
    </row>
    <row r="64" spans="1:20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>
        <v>0</v>
      </c>
      <c r="I64">
        <v>1</v>
      </c>
      <c r="J64">
        <v>0</v>
      </c>
      <c r="K64" s="2">
        <v>9</v>
      </c>
      <c r="L64" s="2">
        <v>88.7</v>
      </c>
      <c r="M64" s="2">
        <v>5.15</v>
      </c>
      <c r="N64" s="2">
        <v>0</v>
      </c>
      <c r="O64" s="2">
        <v>3.3</v>
      </c>
      <c r="P64" s="2">
        <v>572011.19999999995</v>
      </c>
      <c r="Q64" s="2">
        <v>101409.68</v>
      </c>
      <c r="R64">
        <f t="shared" si="0"/>
        <v>1</v>
      </c>
      <c r="S64">
        <f t="shared" si="1"/>
        <v>0</v>
      </c>
      <c r="T64">
        <f t="shared" si="2"/>
        <v>0</v>
      </c>
    </row>
    <row r="65" spans="1:20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>
        <v>0</v>
      </c>
      <c r="I65">
        <v>1</v>
      </c>
      <c r="J65">
        <v>0</v>
      </c>
      <c r="K65" s="2">
        <v>17</v>
      </c>
      <c r="L65" s="2">
        <v>91.1</v>
      </c>
      <c r="M65" s="2">
        <v>1.1100000000000001</v>
      </c>
      <c r="N65" s="2">
        <v>0</v>
      </c>
      <c r="O65" s="2">
        <v>3.5</v>
      </c>
      <c r="P65" s="2">
        <v>761860.19</v>
      </c>
      <c r="Q65" s="2">
        <v>133279.38</v>
      </c>
      <c r="R65">
        <f t="shared" si="0"/>
        <v>1</v>
      </c>
      <c r="S65">
        <f t="shared" si="1"/>
        <v>0</v>
      </c>
      <c r="T65">
        <f t="shared" si="2"/>
        <v>0</v>
      </c>
    </row>
    <row r="66" spans="1:20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>
        <v>0</v>
      </c>
      <c r="I66">
        <v>0</v>
      </c>
      <c r="J66">
        <v>1</v>
      </c>
      <c r="K66" s="2">
        <v>23</v>
      </c>
      <c r="L66" s="2">
        <v>95.1</v>
      </c>
      <c r="M66" s="2">
        <v>6.08</v>
      </c>
      <c r="N66" s="2">
        <v>1</v>
      </c>
      <c r="O66" s="2">
        <v>3.4</v>
      </c>
      <c r="P66" s="2">
        <v>784502.68</v>
      </c>
      <c r="Q66" s="2">
        <v>129519.72</v>
      </c>
      <c r="R66">
        <f t="shared" si="0"/>
        <v>1</v>
      </c>
      <c r="S66">
        <f t="shared" si="1"/>
        <v>0</v>
      </c>
      <c r="T66">
        <f t="shared" si="2"/>
        <v>0</v>
      </c>
    </row>
    <row r="67" spans="1:20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>
        <v>0</v>
      </c>
      <c r="I67">
        <v>0</v>
      </c>
      <c r="J67">
        <v>1</v>
      </c>
      <c r="K67" s="2">
        <v>18</v>
      </c>
      <c r="L67" s="2">
        <v>93.3</v>
      </c>
      <c r="M67" s="2">
        <v>10.91</v>
      </c>
      <c r="N67" s="2">
        <v>0</v>
      </c>
      <c r="O67" s="2">
        <v>3.6</v>
      </c>
      <c r="P67" s="2">
        <v>717141.55</v>
      </c>
      <c r="Q67" s="2">
        <v>134013.60999999999</v>
      </c>
      <c r="R67">
        <f t="shared" ref="R67:R130" si="3">IF($D67="High Street", 1, 0)</f>
        <v>1</v>
      </c>
      <c r="S67">
        <f t="shared" ref="S67:S130" si="4">IF($D67="Airport", 1, 0)</f>
        <v>0</v>
      </c>
      <c r="T67">
        <f t="shared" ref="T67:T130" si="5">IF($D67="Mall", 1, 0)</f>
        <v>0</v>
      </c>
    </row>
    <row r="68" spans="1:20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>
        <v>0</v>
      </c>
      <c r="I68">
        <v>0</v>
      </c>
      <c r="J68">
        <v>1</v>
      </c>
      <c r="K68" s="2">
        <v>20</v>
      </c>
      <c r="L68" s="2">
        <v>99</v>
      </c>
      <c r="M68" s="2">
        <v>19.010000000000002</v>
      </c>
      <c r="N68" s="2">
        <v>1</v>
      </c>
      <c r="O68" s="2">
        <v>3.2</v>
      </c>
      <c r="P68" s="2">
        <v>685379.08</v>
      </c>
      <c r="Q68" s="2">
        <v>106898.82</v>
      </c>
      <c r="R68">
        <f t="shared" si="3"/>
        <v>1</v>
      </c>
      <c r="S68">
        <f t="shared" si="4"/>
        <v>0</v>
      </c>
      <c r="T68">
        <f t="shared" si="5"/>
        <v>0</v>
      </c>
    </row>
    <row r="69" spans="1:20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>
        <v>0</v>
      </c>
      <c r="I69">
        <v>0</v>
      </c>
      <c r="J69">
        <v>1</v>
      </c>
      <c r="K69" s="2">
        <v>17</v>
      </c>
      <c r="L69" s="2">
        <v>91.8</v>
      </c>
      <c r="M69" s="2">
        <v>0.77</v>
      </c>
      <c r="N69" s="2">
        <v>0</v>
      </c>
      <c r="O69" s="2">
        <v>3.4</v>
      </c>
      <c r="P69" s="2">
        <v>740496.65</v>
      </c>
      <c r="Q69" s="2">
        <v>128020.9</v>
      </c>
      <c r="R69">
        <f t="shared" si="3"/>
        <v>1</v>
      </c>
      <c r="S69">
        <f t="shared" si="4"/>
        <v>0</v>
      </c>
      <c r="T69">
        <f t="shared" si="5"/>
        <v>0</v>
      </c>
    </row>
    <row r="70" spans="1:20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>
        <v>0</v>
      </c>
      <c r="I70">
        <v>0</v>
      </c>
      <c r="J70">
        <v>0</v>
      </c>
      <c r="K70" s="2">
        <v>11</v>
      </c>
      <c r="L70" s="2">
        <v>88.9</v>
      </c>
      <c r="M70" s="2">
        <v>2.83</v>
      </c>
      <c r="N70" s="2">
        <v>1</v>
      </c>
      <c r="O70" s="2">
        <v>3.3</v>
      </c>
      <c r="P70" s="2">
        <v>661927.14</v>
      </c>
      <c r="Q70" s="2">
        <v>79218.570000000007</v>
      </c>
      <c r="R70">
        <f t="shared" si="3"/>
        <v>1</v>
      </c>
      <c r="S70">
        <f t="shared" si="4"/>
        <v>0</v>
      </c>
      <c r="T70">
        <f t="shared" si="5"/>
        <v>0</v>
      </c>
    </row>
    <row r="71" spans="1:20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>
        <v>0</v>
      </c>
      <c r="I71">
        <v>0</v>
      </c>
      <c r="J71">
        <v>0</v>
      </c>
      <c r="K71" s="2">
        <v>11</v>
      </c>
      <c r="L71" s="2">
        <v>81.8</v>
      </c>
      <c r="M71" s="2">
        <v>2.33</v>
      </c>
      <c r="N71" s="2">
        <v>0</v>
      </c>
      <c r="O71" s="2">
        <v>3.3</v>
      </c>
      <c r="P71" s="2">
        <v>479050.5</v>
      </c>
      <c r="Q71" s="2">
        <v>53651.11</v>
      </c>
      <c r="R71">
        <f t="shared" si="3"/>
        <v>1</v>
      </c>
      <c r="S71">
        <f t="shared" si="4"/>
        <v>0</v>
      </c>
      <c r="T71">
        <f t="shared" si="5"/>
        <v>0</v>
      </c>
    </row>
    <row r="72" spans="1:20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>
        <v>0</v>
      </c>
      <c r="I72">
        <v>0</v>
      </c>
      <c r="J72">
        <v>0</v>
      </c>
      <c r="K72" s="2">
        <v>7</v>
      </c>
      <c r="L72" s="2">
        <v>99</v>
      </c>
      <c r="M72" s="2">
        <v>1.43</v>
      </c>
      <c r="N72" s="2">
        <v>0</v>
      </c>
      <c r="O72" s="2">
        <v>3.2</v>
      </c>
      <c r="P72" s="2">
        <v>605023.87</v>
      </c>
      <c r="Q72" s="2">
        <v>98545.81</v>
      </c>
      <c r="R72">
        <f t="shared" si="3"/>
        <v>1</v>
      </c>
      <c r="S72">
        <f t="shared" si="4"/>
        <v>0</v>
      </c>
      <c r="T72">
        <f t="shared" si="5"/>
        <v>0</v>
      </c>
    </row>
    <row r="73" spans="1:20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>
        <v>0</v>
      </c>
      <c r="I73">
        <v>0</v>
      </c>
      <c r="J73">
        <v>0</v>
      </c>
      <c r="K73" s="2">
        <v>12</v>
      </c>
      <c r="L73" s="2">
        <v>88</v>
      </c>
      <c r="M73" s="2"/>
      <c r="N73" s="2">
        <v>0</v>
      </c>
      <c r="O73" s="2">
        <v>3.5</v>
      </c>
      <c r="P73" s="2">
        <v>674774.09</v>
      </c>
      <c r="Q73" s="2">
        <v>141917.59</v>
      </c>
      <c r="R73">
        <f t="shared" si="3"/>
        <v>1</v>
      </c>
      <c r="S73">
        <f t="shared" si="4"/>
        <v>0</v>
      </c>
      <c r="T73">
        <f t="shared" si="5"/>
        <v>0</v>
      </c>
    </row>
    <row r="74" spans="1:20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>
        <v>0</v>
      </c>
      <c r="I74">
        <v>0</v>
      </c>
      <c r="J74">
        <v>0</v>
      </c>
      <c r="K74" s="2">
        <v>13</v>
      </c>
      <c r="L74" s="2">
        <v>78.8</v>
      </c>
      <c r="M74" s="2">
        <v>4.91</v>
      </c>
      <c r="N74" s="2">
        <v>0</v>
      </c>
      <c r="O74" s="2">
        <v>4.5</v>
      </c>
      <c r="P74" s="2">
        <v>616069.41</v>
      </c>
      <c r="Q74" s="2">
        <v>54453.99</v>
      </c>
      <c r="R74">
        <f t="shared" si="3"/>
        <v>0</v>
      </c>
      <c r="S74">
        <f t="shared" si="4"/>
        <v>0</v>
      </c>
      <c r="T74">
        <f t="shared" si="5"/>
        <v>0</v>
      </c>
    </row>
    <row r="75" spans="1:20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>
        <v>0</v>
      </c>
      <c r="I75">
        <v>0</v>
      </c>
      <c r="J75">
        <v>0</v>
      </c>
      <c r="K75" s="2">
        <v>19</v>
      </c>
      <c r="L75" s="2">
        <v>94.6</v>
      </c>
      <c r="M75" s="2">
        <v>7.03</v>
      </c>
      <c r="N75" s="2">
        <v>0</v>
      </c>
      <c r="O75" s="2">
        <v>4.4000000000000004</v>
      </c>
      <c r="P75" s="2">
        <v>630829.93999999994</v>
      </c>
      <c r="Q75" s="2">
        <v>117090.02</v>
      </c>
      <c r="R75">
        <f t="shared" si="3"/>
        <v>0</v>
      </c>
      <c r="S75">
        <f t="shared" si="4"/>
        <v>0</v>
      </c>
      <c r="T75">
        <f t="shared" si="5"/>
        <v>0</v>
      </c>
    </row>
    <row r="76" spans="1:20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>
        <v>0</v>
      </c>
      <c r="I76">
        <v>0</v>
      </c>
      <c r="J76">
        <v>0</v>
      </c>
      <c r="K76" s="2">
        <v>20</v>
      </c>
      <c r="L76" s="2">
        <v>93.1</v>
      </c>
      <c r="M76" s="2">
        <v>0.28000000000000003</v>
      </c>
      <c r="N76" s="2">
        <v>1</v>
      </c>
      <c r="O76" s="2">
        <v>4.3</v>
      </c>
      <c r="P76" s="2">
        <v>788087.68</v>
      </c>
      <c r="Q76" s="2">
        <v>116803.42</v>
      </c>
      <c r="R76">
        <f t="shared" si="3"/>
        <v>0</v>
      </c>
      <c r="S76">
        <f t="shared" si="4"/>
        <v>0</v>
      </c>
      <c r="T76">
        <f t="shared" si="5"/>
        <v>0</v>
      </c>
    </row>
    <row r="77" spans="1:20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>
        <v>0</v>
      </c>
      <c r="I77">
        <v>0</v>
      </c>
      <c r="J77">
        <v>0</v>
      </c>
      <c r="K77" s="2">
        <v>20</v>
      </c>
      <c r="L77" s="2">
        <v>85.2</v>
      </c>
      <c r="M77" s="2">
        <v>3.61</v>
      </c>
      <c r="N77" s="2">
        <v>0</v>
      </c>
      <c r="O77" s="2">
        <v>4.5</v>
      </c>
      <c r="P77" s="2">
        <v>680840.36</v>
      </c>
      <c r="Q77" s="2">
        <v>68007.679999999993</v>
      </c>
      <c r="R77">
        <f t="shared" si="3"/>
        <v>0</v>
      </c>
      <c r="S77">
        <f t="shared" si="4"/>
        <v>0</v>
      </c>
      <c r="T77">
        <f t="shared" si="5"/>
        <v>0</v>
      </c>
    </row>
    <row r="78" spans="1:20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>
        <v>0</v>
      </c>
      <c r="I78">
        <v>1</v>
      </c>
      <c r="J78">
        <v>0</v>
      </c>
      <c r="K78" s="2">
        <v>15</v>
      </c>
      <c r="L78" s="2">
        <v>77.7</v>
      </c>
      <c r="M78" s="2">
        <v>7.52</v>
      </c>
      <c r="N78" s="2">
        <v>1</v>
      </c>
      <c r="O78" s="2">
        <v>3.2</v>
      </c>
      <c r="P78" s="2">
        <v>643657.47</v>
      </c>
      <c r="Q78" s="2">
        <v>87022.45</v>
      </c>
      <c r="R78">
        <f t="shared" si="3"/>
        <v>1</v>
      </c>
      <c r="S78">
        <f t="shared" si="4"/>
        <v>0</v>
      </c>
      <c r="T78">
        <f t="shared" si="5"/>
        <v>0</v>
      </c>
    </row>
    <row r="79" spans="1:20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>
        <v>0</v>
      </c>
      <c r="I79">
        <v>1</v>
      </c>
      <c r="J79">
        <v>0</v>
      </c>
      <c r="K79" s="2">
        <v>12</v>
      </c>
      <c r="L79" s="2">
        <v>85.4</v>
      </c>
      <c r="M79" s="2">
        <v>2.58</v>
      </c>
      <c r="N79" s="2">
        <v>0</v>
      </c>
      <c r="O79" s="2">
        <v>2.9</v>
      </c>
      <c r="P79" s="2">
        <v>691112.6</v>
      </c>
      <c r="Q79" s="2">
        <v>109212.83</v>
      </c>
      <c r="R79">
        <f t="shared" si="3"/>
        <v>1</v>
      </c>
      <c r="S79">
        <f t="shared" si="4"/>
        <v>0</v>
      </c>
      <c r="T79">
        <f t="shared" si="5"/>
        <v>0</v>
      </c>
    </row>
    <row r="80" spans="1:20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>
        <v>0</v>
      </c>
      <c r="I80">
        <v>1</v>
      </c>
      <c r="J80">
        <v>0</v>
      </c>
      <c r="K80" s="2">
        <v>16</v>
      </c>
      <c r="L80" s="2">
        <v>83.5</v>
      </c>
      <c r="M80" s="2">
        <v>2.29</v>
      </c>
      <c r="N80" s="2">
        <v>0</v>
      </c>
      <c r="O80" s="2">
        <v>3.3</v>
      </c>
      <c r="P80" s="2">
        <v>776922.17</v>
      </c>
      <c r="Q80" s="2">
        <v>150701.93</v>
      </c>
      <c r="R80">
        <f t="shared" si="3"/>
        <v>1</v>
      </c>
      <c r="S80">
        <f t="shared" si="4"/>
        <v>0</v>
      </c>
      <c r="T80">
        <f t="shared" si="5"/>
        <v>0</v>
      </c>
    </row>
    <row r="81" spans="1:20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>
        <v>0</v>
      </c>
      <c r="I81">
        <v>1</v>
      </c>
      <c r="J81">
        <v>0</v>
      </c>
      <c r="K81" s="2">
        <v>14</v>
      </c>
      <c r="L81" s="2">
        <v>81.3</v>
      </c>
      <c r="M81" s="2">
        <v>2.39</v>
      </c>
      <c r="N81" s="2">
        <v>0</v>
      </c>
      <c r="O81" s="2">
        <v>3.2</v>
      </c>
      <c r="P81" s="2">
        <v>636561.34</v>
      </c>
      <c r="Q81" s="2">
        <v>93861.06</v>
      </c>
      <c r="R81">
        <f t="shared" si="3"/>
        <v>1</v>
      </c>
      <c r="S81">
        <f t="shared" si="4"/>
        <v>0</v>
      </c>
      <c r="T81">
        <f t="shared" si="5"/>
        <v>0</v>
      </c>
    </row>
    <row r="82" spans="1:20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>
        <v>0</v>
      </c>
      <c r="I82">
        <v>0</v>
      </c>
      <c r="J82">
        <v>1</v>
      </c>
      <c r="K82" s="2">
        <v>15</v>
      </c>
      <c r="L82" s="2">
        <v>83.9</v>
      </c>
      <c r="M82" s="2">
        <v>5.24</v>
      </c>
      <c r="N82" s="2">
        <v>0</v>
      </c>
      <c r="O82" s="2">
        <v>4.5999999999999996</v>
      </c>
      <c r="P82" s="2">
        <v>621369.57999999996</v>
      </c>
      <c r="Q82" s="2">
        <v>85493.64</v>
      </c>
      <c r="R82">
        <f t="shared" si="3"/>
        <v>0</v>
      </c>
      <c r="S82">
        <f t="shared" si="4"/>
        <v>0</v>
      </c>
      <c r="T82">
        <f t="shared" si="5"/>
        <v>1</v>
      </c>
    </row>
    <row r="83" spans="1:20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>
        <v>0</v>
      </c>
      <c r="I83">
        <v>0</v>
      </c>
      <c r="J83">
        <v>1</v>
      </c>
      <c r="K83" s="2">
        <v>10</v>
      </c>
      <c r="L83" s="2">
        <v>89.6</v>
      </c>
      <c r="M83" s="2">
        <v>3.17</v>
      </c>
      <c r="N83" s="2">
        <v>0</v>
      </c>
      <c r="O83" s="2">
        <v>4.5999999999999996</v>
      </c>
      <c r="P83" s="2">
        <v>682208.01</v>
      </c>
      <c r="Q83" s="2">
        <v>110318.84</v>
      </c>
      <c r="R83">
        <f t="shared" si="3"/>
        <v>0</v>
      </c>
      <c r="S83">
        <f t="shared" si="4"/>
        <v>0</v>
      </c>
      <c r="T83">
        <f t="shared" si="5"/>
        <v>1</v>
      </c>
    </row>
    <row r="84" spans="1:20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>
        <v>0</v>
      </c>
      <c r="I84">
        <v>0</v>
      </c>
      <c r="J84">
        <v>1</v>
      </c>
      <c r="K84" s="2">
        <v>15</v>
      </c>
      <c r="L84" s="2">
        <v>87.1</v>
      </c>
      <c r="M84" s="2">
        <v>2.66</v>
      </c>
      <c r="N84" s="2">
        <v>0</v>
      </c>
      <c r="O84" s="2">
        <v>4.5999999999999996</v>
      </c>
      <c r="P84" s="2">
        <v>727241.86</v>
      </c>
      <c r="Q84" s="2">
        <v>155810.29999999999</v>
      </c>
      <c r="R84">
        <f t="shared" si="3"/>
        <v>0</v>
      </c>
      <c r="S84">
        <f t="shared" si="4"/>
        <v>0</v>
      </c>
      <c r="T84">
        <f t="shared" si="5"/>
        <v>1</v>
      </c>
    </row>
    <row r="85" spans="1:20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>
        <v>0</v>
      </c>
      <c r="I85">
        <v>0</v>
      </c>
      <c r="J85">
        <v>1</v>
      </c>
      <c r="K85" s="2">
        <v>8</v>
      </c>
      <c r="L85" s="2">
        <v>83.6</v>
      </c>
      <c r="M85" s="2">
        <v>1.41</v>
      </c>
      <c r="N85" s="2">
        <v>0</v>
      </c>
      <c r="O85" s="2">
        <v>4.2</v>
      </c>
      <c r="P85" s="2">
        <v>569100.78</v>
      </c>
      <c r="Q85" s="2">
        <v>104808.78</v>
      </c>
      <c r="R85">
        <f t="shared" si="3"/>
        <v>0</v>
      </c>
      <c r="S85">
        <f t="shared" si="4"/>
        <v>0</v>
      </c>
      <c r="T85">
        <f t="shared" si="5"/>
        <v>1</v>
      </c>
    </row>
    <row r="86" spans="1:20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>
        <v>0</v>
      </c>
      <c r="I86">
        <v>0</v>
      </c>
      <c r="J86">
        <v>1</v>
      </c>
      <c r="K86" s="2">
        <v>7</v>
      </c>
      <c r="L86" s="2">
        <v>85.4</v>
      </c>
      <c r="M86" s="2">
        <v>7.34</v>
      </c>
      <c r="N86" s="2">
        <v>0</v>
      </c>
      <c r="O86" s="2">
        <v>4.9000000000000004</v>
      </c>
      <c r="P86" s="2">
        <v>574436.29</v>
      </c>
      <c r="Q86" s="2">
        <v>80271.990000000005</v>
      </c>
      <c r="R86">
        <f t="shared" si="3"/>
        <v>1</v>
      </c>
      <c r="S86">
        <f t="shared" si="4"/>
        <v>0</v>
      </c>
      <c r="T86">
        <f t="shared" si="5"/>
        <v>0</v>
      </c>
    </row>
    <row r="87" spans="1:20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>
        <v>0</v>
      </c>
      <c r="I87">
        <v>0</v>
      </c>
      <c r="J87">
        <v>1</v>
      </c>
      <c r="K87" s="2">
        <v>11</v>
      </c>
      <c r="L87" s="2">
        <v>91.9</v>
      </c>
      <c r="M87" s="2">
        <v>5.95</v>
      </c>
      <c r="N87" s="2">
        <v>0</v>
      </c>
      <c r="O87" s="2"/>
      <c r="P87" s="2">
        <v>611766.72</v>
      </c>
      <c r="Q87" s="2">
        <v>88275.61</v>
      </c>
      <c r="R87">
        <f t="shared" si="3"/>
        <v>1</v>
      </c>
      <c r="S87">
        <f t="shared" si="4"/>
        <v>0</v>
      </c>
      <c r="T87">
        <f t="shared" si="5"/>
        <v>0</v>
      </c>
    </row>
    <row r="88" spans="1:20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>
        <v>0</v>
      </c>
      <c r="I88">
        <v>0</v>
      </c>
      <c r="J88">
        <v>1</v>
      </c>
      <c r="K88" s="2">
        <v>11</v>
      </c>
      <c r="L88" s="2">
        <v>88.5</v>
      </c>
      <c r="M88" s="2">
        <v>15.51</v>
      </c>
      <c r="N88" s="2">
        <v>0</v>
      </c>
      <c r="O88" s="2">
        <v>4.3</v>
      </c>
      <c r="P88" s="2">
        <v>614596.31999999995</v>
      </c>
      <c r="Q88" s="2">
        <v>131199.41</v>
      </c>
      <c r="R88">
        <f t="shared" si="3"/>
        <v>1</v>
      </c>
      <c r="S88">
        <f t="shared" si="4"/>
        <v>0</v>
      </c>
      <c r="T88">
        <f t="shared" si="5"/>
        <v>0</v>
      </c>
    </row>
    <row r="89" spans="1:20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>
        <v>0</v>
      </c>
      <c r="I89">
        <v>0</v>
      </c>
      <c r="J89">
        <v>1</v>
      </c>
      <c r="K89" s="2">
        <v>9</v>
      </c>
      <c r="L89" s="2">
        <v>86.4</v>
      </c>
      <c r="M89" s="2">
        <v>4.3099999999999996</v>
      </c>
      <c r="N89" s="2">
        <v>0</v>
      </c>
      <c r="O89" s="2">
        <v>4.5999999999999996</v>
      </c>
      <c r="P89" s="2">
        <v>450711.92</v>
      </c>
      <c r="Q89" s="2">
        <v>90043.76</v>
      </c>
      <c r="R89">
        <f t="shared" si="3"/>
        <v>1</v>
      </c>
      <c r="S89">
        <f t="shared" si="4"/>
        <v>0</v>
      </c>
      <c r="T89">
        <f t="shared" si="5"/>
        <v>0</v>
      </c>
    </row>
    <row r="90" spans="1:20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>
        <v>0</v>
      </c>
      <c r="I90">
        <v>1</v>
      </c>
      <c r="J90">
        <v>0</v>
      </c>
      <c r="K90" s="2">
        <v>18</v>
      </c>
      <c r="L90" s="2">
        <v>79.2</v>
      </c>
      <c r="M90" s="2">
        <v>6.61</v>
      </c>
      <c r="N90" s="2">
        <v>1</v>
      </c>
      <c r="O90" s="2">
        <v>4.0999999999999996</v>
      </c>
      <c r="P90" s="2">
        <v>711213.46</v>
      </c>
      <c r="Q90" s="2">
        <v>105863.26</v>
      </c>
      <c r="R90">
        <f t="shared" si="3"/>
        <v>0</v>
      </c>
      <c r="S90">
        <f t="shared" si="4"/>
        <v>0</v>
      </c>
      <c r="T90">
        <f t="shared" si="5"/>
        <v>1</v>
      </c>
    </row>
    <row r="91" spans="1:20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>
        <v>0</v>
      </c>
      <c r="I91">
        <v>1</v>
      </c>
      <c r="J91">
        <v>0</v>
      </c>
      <c r="K91" s="2">
        <v>12</v>
      </c>
      <c r="L91" s="2">
        <v>87</v>
      </c>
      <c r="M91" s="2">
        <v>4.26</v>
      </c>
      <c r="N91" s="2">
        <v>0</v>
      </c>
      <c r="O91" s="2">
        <v>4.5</v>
      </c>
      <c r="P91" s="2">
        <v>627171.9</v>
      </c>
      <c r="Q91" s="2">
        <v>105772.75</v>
      </c>
      <c r="R91">
        <f t="shared" si="3"/>
        <v>0</v>
      </c>
      <c r="S91">
        <f t="shared" si="4"/>
        <v>0</v>
      </c>
      <c r="T91">
        <f t="shared" si="5"/>
        <v>1</v>
      </c>
    </row>
    <row r="92" spans="1:20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>
        <v>0</v>
      </c>
      <c r="I92">
        <v>1</v>
      </c>
      <c r="J92">
        <v>0</v>
      </c>
      <c r="K92" s="2">
        <v>17</v>
      </c>
      <c r="L92" s="2">
        <v>91.8</v>
      </c>
      <c r="M92" s="2">
        <v>5.75</v>
      </c>
      <c r="N92" s="2">
        <v>0</v>
      </c>
      <c r="O92" s="2">
        <v>4.7</v>
      </c>
      <c r="P92" s="2">
        <v>739852.58</v>
      </c>
      <c r="Q92" s="2">
        <v>129386.43</v>
      </c>
      <c r="R92">
        <f t="shared" si="3"/>
        <v>0</v>
      </c>
      <c r="S92">
        <f t="shared" si="4"/>
        <v>0</v>
      </c>
      <c r="T92">
        <f t="shared" si="5"/>
        <v>1</v>
      </c>
    </row>
    <row r="93" spans="1:20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>
        <v>0</v>
      </c>
      <c r="I93">
        <v>1</v>
      </c>
      <c r="J93">
        <v>0</v>
      </c>
      <c r="K93" s="2">
        <v>11</v>
      </c>
      <c r="L93" s="2">
        <v>84.7</v>
      </c>
      <c r="M93" s="2">
        <v>0.33</v>
      </c>
      <c r="N93" s="2">
        <v>0</v>
      </c>
      <c r="O93" s="2">
        <v>4.3</v>
      </c>
      <c r="P93" s="2">
        <v>586307.22</v>
      </c>
      <c r="Q93" s="2">
        <v>73927.850000000006</v>
      </c>
      <c r="R93">
        <f t="shared" si="3"/>
        <v>0</v>
      </c>
      <c r="S93">
        <f t="shared" si="4"/>
        <v>0</v>
      </c>
      <c r="T93">
        <f t="shared" si="5"/>
        <v>1</v>
      </c>
    </row>
    <row r="94" spans="1:20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>
        <v>0</v>
      </c>
      <c r="I94">
        <v>0</v>
      </c>
      <c r="J94">
        <v>1</v>
      </c>
      <c r="K94" s="2">
        <v>14</v>
      </c>
      <c r="L94" s="2">
        <v>91.1</v>
      </c>
      <c r="M94" s="2">
        <v>2.92</v>
      </c>
      <c r="N94" s="2">
        <v>0</v>
      </c>
      <c r="O94" s="2">
        <v>4.5999999999999996</v>
      </c>
      <c r="P94" s="2">
        <v>585937.48</v>
      </c>
      <c r="Q94" s="2">
        <v>82624.2</v>
      </c>
      <c r="R94">
        <f t="shared" si="3"/>
        <v>0</v>
      </c>
      <c r="S94">
        <f t="shared" si="4"/>
        <v>0</v>
      </c>
      <c r="T94">
        <f t="shared" si="5"/>
        <v>0</v>
      </c>
    </row>
    <row r="95" spans="1:20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>
        <v>0</v>
      </c>
      <c r="I95">
        <v>0</v>
      </c>
      <c r="J95">
        <v>1</v>
      </c>
      <c r="K95" s="2">
        <v>16</v>
      </c>
      <c r="L95" s="2">
        <v>90.9</v>
      </c>
      <c r="M95" s="2">
        <v>1.64</v>
      </c>
      <c r="N95" s="2">
        <v>0</v>
      </c>
      <c r="O95" s="2">
        <v>4.5</v>
      </c>
      <c r="P95" s="2">
        <v>753473.55</v>
      </c>
      <c r="Q95" s="2">
        <v>151527.22</v>
      </c>
      <c r="R95">
        <f t="shared" si="3"/>
        <v>0</v>
      </c>
      <c r="S95">
        <f t="shared" si="4"/>
        <v>0</v>
      </c>
      <c r="T95">
        <f t="shared" si="5"/>
        <v>0</v>
      </c>
    </row>
    <row r="96" spans="1:20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>
        <v>0</v>
      </c>
      <c r="I96">
        <v>0</v>
      </c>
      <c r="J96">
        <v>1</v>
      </c>
      <c r="K96" s="2">
        <v>17</v>
      </c>
      <c r="L96" s="2">
        <v>91.3</v>
      </c>
      <c r="M96" s="2">
        <v>0.8</v>
      </c>
      <c r="N96" s="2">
        <v>0</v>
      </c>
      <c r="O96" s="2">
        <v>5</v>
      </c>
      <c r="P96" s="2">
        <v>838250.32</v>
      </c>
      <c r="Q96" s="2">
        <v>122939.34</v>
      </c>
      <c r="R96">
        <f t="shared" si="3"/>
        <v>0</v>
      </c>
      <c r="S96">
        <f t="shared" si="4"/>
        <v>0</v>
      </c>
      <c r="T96">
        <f t="shared" si="5"/>
        <v>0</v>
      </c>
    </row>
    <row r="97" spans="1:20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>
        <v>0</v>
      </c>
      <c r="I97">
        <v>0</v>
      </c>
      <c r="J97">
        <v>1</v>
      </c>
      <c r="K97" s="2">
        <v>15</v>
      </c>
      <c r="L97" s="2">
        <v>94.1</v>
      </c>
      <c r="M97" s="2">
        <v>5.79</v>
      </c>
      <c r="N97" s="2">
        <v>0</v>
      </c>
      <c r="O97" s="2">
        <v>4.5</v>
      </c>
      <c r="P97" s="2">
        <v>607898.12</v>
      </c>
      <c r="Q97" s="2">
        <v>135404.85</v>
      </c>
      <c r="R97">
        <f t="shared" si="3"/>
        <v>0</v>
      </c>
      <c r="S97">
        <f t="shared" si="4"/>
        <v>0</v>
      </c>
      <c r="T97">
        <f t="shared" si="5"/>
        <v>0</v>
      </c>
    </row>
    <row r="98" spans="1:20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>
        <v>0</v>
      </c>
      <c r="I98">
        <v>0</v>
      </c>
      <c r="J98">
        <v>1</v>
      </c>
      <c r="K98" s="2">
        <v>19</v>
      </c>
      <c r="L98" s="2">
        <v>91</v>
      </c>
      <c r="M98" s="2">
        <v>19.600000000000001</v>
      </c>
      <c r="N98" s="2">
        <v>0</v>
      </c>
      <c r="O98" s="2">
        <v>4.4000000000000004</v>
      </c>
      <c r="P98" s="2">
        <v>691113.62</v>
      </c>
      <c r="Q98" s="2">
        <v>135145.44</v>
      </c>
      <c r="R98">
        <f t="shared" si="3"/>
        <v>0</v>
      </c>
      <c r="S98">
        <f t="shared" si="4"/>
        <v>0</v>
      </c>
      <c r="T98">
        <f t="shared" si="5"/>
        <v>1</v>
      </c>
    </row>
    <row r="99" spans="1:20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>
        <v>0</v>
      </c>
      <c r="I99">
        <v>0</v>
      </c>
      <c r="J99">
        <v>1</v>
      </c>
      <c r="K99" s="2">
        <v>13</v>
      </c>
      <c r="L99" s="2">
        <v>85.8</v>
      </c>
      <c r="M99" s="2">
        <v>7.57</v>
      </c>
      <c r="N99" s="2">
        <v>0</v>
      </c>
      <c r="O99" s="2">
        <v>4.3</v>
      </c>
      <c r="P99" s="2">
        <v>735509.4</v>
      </c>
      <c r="Q99" s="2">
        <v>83895.96</v>
      </c>
      <c r="R99">
        <f t="shared" si="3"/>
        <v>0</v>
      </c>
      <c r="S99">
        <f t="shared" si="4"/>
        <v>0</v>
      </c>
      <c r="T99">
        <f t="shared" si="5"/>
        <v>1</v>
      </c>
    </row>
    <row r="100" spans="1:20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>
        <v>0</v>
      </c>
      <c r="I100">
        <v>0</v>
      </c>
      <c r="J100">
        <v>1</v>
      </c>
      <c r="K100" s="2">
        <v>15</v>
      </c>
      <c r="L100" s="2">
        <v>89.7</v>
      </c>
      <c r="M100" s="2"/>
      <c r="N100" s="2">
        <v>0</v>
      </c>
      <c r="O100" s="2">
        <v>4.3</v>
      </c>
      <c r="P100" s="2">
        <v>605775.32999999996</v>
      </c>
      <c r="Q100" s="2">
        <v>107194.6</v>
      </c>
      <c r="R100">
        <f t="shared" si="3"/>
        <v>0</v>
      </c>
      <c r="S100">
        <f t="shared" si="4"/>
        <v>0</v>
      </c>
      <c r="T100">
        <f t="shared" si="5"/>
        <v>1</v>
      </c>
    </row>
    <row r="101" spans="1:20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>
        <v>0</v>
      </c>
      <c r="I101">
        <v>0</v>
      </c>
      <c r="J101">
        <v>1</v>
      </c>
      <c r="K101" s="2">
        <v>11</v>
      </c>
      <c r="L101" s="2">
        <v>91</v>
      </c>
      <c r="M101" s="2">
        <v>2.7</v>
      </c>
      <c r="N101" s="2">
        <v>0</v>
      </c>
      <c r="O101" s="2">
        <v>4.4000000000000004</v>
      </c>
      <c r="P101" s="2">
        <v>675177.68</v>
      </c>
      <c r="Q101" s="2">
        <v>105628.68</v>
      </c>
      <c r="R101">
        <f t="shared" si="3"/>
        <v>0</v>
      </c>
      <c r="S101">
        <f t="shared" si="4"/>
        <v>0</v>
      </c>
      <c r="T101">
        <f t="shared" si="5"/>
        <v>1</v>
      </c>
    </row>
    <row r="102" spans="1:20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>
        <v>0</v>
      </c>
      <c r="I102">
        <v>0</v>
      </c>
      <c r="J102">
        <v>0</v>
      </c>
      <c r="K102" s="2">
        <v>12</v>
      </c>
      <c r="L102" s="2">
        <v>91.4</v>
      </c>
      <c r="M102" s="2">
        <v>0.2</v>
      </c>
      <c r="N102" s="2">
        <v>0</v>
      </c>
      <c r="O102" s="2">
        <v>4.4000000000000004</v>
      </c>
      <c r="P102" s="2">
        <v>635181.35</v>
      </c>
      <c r="Q102" s="2">
        <v>83341.25</v>
      </c>
      <c r="R102">
        <f t="shared" si="3"/>
        <v>0</v>
      </c>
      <c r="S102">
        <f t="shared" si="4"/>
        <v>0</v>
      </c>
      <c r="T102">
        <f t="shared" si="5"/>
        <v>1</v>
      </c>
    </row>
    <row r="103" spans="1:20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>
        <v>0</v>
      </c>
      <c r="I103">
        <v>0</v>
      </c>
      <c r="J103">
        <v>0</v>
      </c>
      <c r="K103" s="2">
        <v>14</v>
      </c>
      <c r="L103" s="2">
        <v>90.4</v>
      </c>
      <c r="M103" s="2">
        <v>7.87</v>
      </c>
      <c r="N103" s="2">
        <v>0</v>
      </c>
      <c r="O103" s="2">
        <v>4.7</v>
      </c>
      <c r="P103" s="2">
        <v>586626.93999999994</v>
      </c>
      <c r="Q103" s="2">
        <v>86498.55</v>
      </c>
      <c r="R103">
        <f t="shared" si="3"/>
        <v>0</v>
      </c>
      <c r="S103">
        <f t="shared" si="4"/>
        <v>0</v>
      </c>
      <c r="T103">
        <f t="shared" si="5"/>
        <v>1</v>
      </c>
    </row>
    <row r="104" spans="1:20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>
        <v>0</v>
      </c>
      <c r="I104">
        <v>0</v>
      </c>
      <c r="J104">
        <v>0</v>
      </c>
      <c r="K104" s="2">
        <v>14</v>
      </c>
      <c r="L104" s="2">
        <v>80.5</v>
      </c>
      <c r="M104" s="2">
        <v>0.77</v>
      </c>
      <c r="N104" s="2">
        <v>1</v>
      </c>
      <c r="O104" s="2">
        <v>4.4000000000000004</v>
      </c>
      <c r="P104" s="2">
        <v>740102.64</v>
      </c>
      <c r="Q104" s="2">
        <v>114299.07</v>
      </c>
      <c r="R104">
        <f t="shared" si="3"/>
        <v>0</v>
      </c>
      <c r="S104">
        <f t="shared" si="4"/>
        <v>0</v>
      </c>
      <c r="T104">
        <f t="shared" si="5"/>
        <v>1</v>
      </c>
    </row>
    <row r="105" spans="1:20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>
        <v>0</v>
      </c>
      <c r="I105">
        <v>0</v>
      </c>
      <c r="J105">
        <v>0</v>
      </c>
      <c r="K105" s="2">
        <v>7</v>
      </c>
      <c r="L105" s="2">
        <v>92.1</v>
      </c>
      <c r="M105" s="2">
        <v>1.48</v>
      </c>
      <c r="N105" s="2">
        <v>0</v>
      </c>
      <c r="O105" s="2">
        <v>5</v>
      </c>
      <c r="P105" s="2">
        <v>625514.04</v>
      </c>
      <c r="Q105" s="2">
        <v>120685.08</v>
      </c>
      <c r="R105">
        <f t="shared" si="3"/>
        <v>0</v>
      </c>
      <c r="S105">
        <f t="shared" si="4"/>
        <v>0</v>
      </c>
      <c r="T105">
        <f t="shared" si="5"/>
        <v>1</v>
      </c>
    </row>
    <row r="106" spans="1:20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>
        <v>0</v>
      </c>
      <c r="I106">
        <v>0</v>
      </c>
      <c r="J106">
        <v>1</v>
      </c>
      <c r="K106" s="2">
        <v>21</v>
      </c>
      <c r="L106" s="2">
        <v>82.3</v>
      </c>
      <c r="M106" s="2">
        <v>2.87</v>
      </c>
      <c r="N106" s="2">
        <v>0</v>
      </c>
      <c r="O106" s="2">
        <v>2.9</v>
      </c>
      <c r="P106" s="2">
        <v>727227.2</v>
      </c>
      <c r="Q106" s="2">
        <v>121292.01</v>
      </c>
      <c r="R106">
        <f t="shared" si="3"/>
        <v>1</v>
      </c>
      <c r="S106">
        <f t="shared" si="4"/>
        <v>0</v>
      </c>
      <c r="T106">
        <f t="shared" si="5"/>
        <v>0</v>
      </c>
    </row>
    <row r="107" spans="1:20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>
        <v>0</v>
      </c>
      <c r="I107">
        <v>0</v>
      </c>
      <c r="J107">
        <v>1</v>
      </c>
      <c r="K107" s="2">
        <v>21</v>
      </c>
      <c r="L107" s="2">
        <v>91.8</v>
      </c>
      <c r="M107" s="2">
        <v>2.83</v>
      </c>
      <c r="N107" s="2">
        <v>0</v>
      </c>
      <c r="O107" s="2">
        <v>3</v>
      </c>
      <c r="P107" s="2">
        <v>783797.89</v>
      </c>
      <c r="Q107" s="2">
        <v>157620.70000000001</v>
      </c>
      <c r="R107">
        <f t="shared" si="3"/>
        <v>1</v>
      </c>
      <c r="S107">
        <f t="shared" si="4"/>
        <v>0</v>
      </c>
      <c r="T107">
        <f t="shared" si="5"/>
        <v>0</v>
      </c>
    </row>
    <row r="108" spans="1:20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>
        <v>0</v>
      </c>
      <c r="I108">
        <v>0</v>
      </c>
      <c r="J108">
        <v>1</v>
      </c>
      <c r="K108" s="2">
        <v>14</v>
      </c>
      <c r="L108" s="2">
        <v>94.1</v>
      </c>
      <c r="M108" s="2">
        <v>0.25</v>
      </c>
      <c r="N108" s="2">
        <v>0</v>
      </c>
      <c r="O108" s="2">
        <v>3</v>
      </c>
      <c r="P108" s="2">
        <v>795153.84</v>
      </c>
      <c r="Q108" s="2">
        <v>143194.21</v>
      </c>
      <c r="R108">
        <f t="shared" si="3"/>
        <v>1</v>
      </c>
      <c r="S108">
        <f t="shared" si="4"/>
        <v>0</v>
      </c>
      <c r="T108">
        <f t="shared" si="5"/>
        <v>0</v>
      </c>
    </row>
    <row r="109" spans="1:20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>
        <v>0</v>
      </c>
      <c r="I109">
        <v>0</v>
      </c>
      <c r="J109">
        <v>1</v>
      </c>
      <c r="K109" s="2">
        <v>15</v>
      </c>
      <c r="L109" s="2">
        <v>87</v>
      </c>
      <c r="M109" s="2">
        <v>13.33</v>
      </c>
      <c r="N109" s="2">
        <v>0</v>
      </c>
      <c r="O109" s="2">
        <v>3.2</v>
      </c>
      <c r="P109" s="2">
        <v>665594.93999999994</v>
      </c>
      <c r="Q109" s="2">
        <v>127597.34</v>
      </c>
      <c r="R109">
        <f t="shared" si="3"/>
        <v>1</v>
      </c>
      <c r="S109">
        <f t="shared" si="4"/>
        <v>0</v>
      </c>
      <c r="T109">
        <f t="shared" si="5"/>
        <v>0</v>
      </c>
    </row>
    <row r="110" spans="1:20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>
        <v>0</v>
      </c>
      <c r="I110">
        <v>0</v>
      </c>
      <c r="J110">
        <v>0</v>
      </c>
      <c r="K110" s="2">
        <v>20</v>
      </c>
      <c r="L110" s="2">
        <v>73.8</v>
      </c>
      <c r="M110" s="2">
        <v>6.35</v>
      </c>
      <c r="N110" s="2">
        <v>1</v>
      </c>
      <c r="O110" s="2">
        <v>3.8</v>
      </c>
      <c r="P110" s="2">
        <v>709478.39</v>
      </c>
      <c r="Q110" s="2">
        <v>71294.27</v>
      </c>
      <c r="R110">
        <f t="shared" si="3"/>
        <v>0</v>
      </c>
      <c r="S110">
        <f t="shared" si="4"/>
        <v>0</v>
      </c>
      <c r="T110">
        <f t="shared" si="5"/>
        <v>1</v>
      </c>
    </row>
    <row r="111" spans="1:20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>
        <v>0</v>
      </c>
      <c r="I111">
        <v>0</v>
      </c>
      <c r="J111">
        <v>0</v>
      </c>
      <c r="K111" s="2">
        <v>13</v>
      </c>
      <c r="L111" s="2">
        <v>86.5</v>
      </c>
      <c r="M111" s="2">
        <v>6.69</v>
      </c>
      <c r="N111" s="2">
        <v>0</v>
      </c>
      <c r="O111" s="2">
        <v>3.8</v>
      </c>
      <c r="P111" s="2">
        <v>664162.49</v>
      </c>
      <c r="Q111" s="2">
        <v>98291.06</v>
      </c>
      <c r="R111">
        <f t="shared" si="3"/>
        <v>0</v>
      </c>
      <c r="S111">
        <f t="shared" si="4"/>
        <v>0</v>
      </c>
      <c r="T111">
        <f t="shared" si="5"/>
        <v>1</v>
      </c>
    </row>
    <row r="112" spans="1:20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>
        <v>0</v>
      </c>
      <c r="I112">
        <v>0</v>
      </c>
      <c r="J112">
        <v>0</v>
      </c>
      <c r="K112" s="2">
        <v>13</v>
      </c>
      <c r="L112" s="2">
        <v>89.9</v>
      </c>
      <c r="M112" s="2">
        <v>1.28</v>
      </c>
      <c r="N112" s="2">
        <v>0</v>
      </c>
      <c r="O112" s="2">
        <v>4.2</v>
      </c>
      <c r="P112" s="2">
        <v>633494.21</v>
      </c>
      <c r="Q112" s="2">
        <v>105739.47</v>
      </c>
      <c r="R112">
        <f t="shared" si="3"/>
        <v>0</v>
      </c>
      <c r="S112">
        <f t="shared" si="4"/>
        <v>0</v>
      </c>
      <c r="T112">
        <f t="shared" si="5"/>
        <v>1</v>
      </c>
    </row>
    <row r="113" spans="1:20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>
        <v>0</v>
      </c>
      <c r="I113">
        <v>0</v>
      </c>
      <c r="J113">
        <v>0</v>
      </c>
      <c r="K113" s="2">
        <v>12</v>
      </c>
      <c r="L113" s="2">
        <v>91.7</v>
      </c>
      <c r="M113" s="2">
        <v>0.92</v>
      </c>
      <c r="N113" s="2">
        <v>0</v>
      </c>
      <c r="O113" s="2">
        <v>3.5</v>
      </c>
      <c r="P113" s="2">
        <v>713611.16</v>
      </c>
      <c r="Q113" s="2">
        <v>129717.18</v>
      </c>
      <c r="R113">
        <f t="shared" si="3"/>
        <v>0</v>
      </c>
      <c r="S113">
        <f t="shared" si="4"/>
        <v>0</v>
      </c>
      <c r="T113">
        <f t="shared" si="5"/>
        <v>1</v>
      </c>
    </row>
    <row r="114" spans="1:20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>
        <v>0</v>
      </c>
      <c r="I114">
        <v>0</v>
      </c>
      <c r="J114">
        <v>1</v>
      </c>
      <c r="K114" s="2">
        <v>22</v>
      </c>
      <c r="L114" s="2">
        <v>76.400000000000006</v>
      </c>
      <c r="M114" s="2">
        <v>1.05</v>
      </c>
      <c r="N114" s="2">
        <v>0</v>
      </c>
      <c r="O114" s="2">
        <v>3.1</v>
      </c>
      <c r="P114" s="2">
        <v>778397.97</v>
      </c>
      <c r="Q114" s="2">
        <v>120044.41</v>
      </c>
      <c r="R114">
        <f t="shared" si="3"/>
        <v>0</v>
      </c>
      <c r="S114">
        <f t="shared" si="4"/>
        <v>0</v>
      </c>
      <c r="T114">
        <f t="shared" si="5"/>
        <v>1</v>
      </c>
    </row>
    <row r="115" spans="1:20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>
        <v>0</v>
      </c>
      <c r="I115">
        <v>0</v>
      </c>
      <c r="J115">
        <v>1</v>
      </c>
      <c r="K115" s="2">
        <v>22</v>
      </c>
      <c r="L115" s="2">
        <v>94.3</v>
      </c>
      <c r="M115" s="2">
        <v>2.67</v>
      </c>
      <c r="N115" s="2">
        <v>0</v>
      </c>
      <c r="O115" s="2">
        <v>3.5</v>
      </c>
      <c r="P115" s="2">
        <v>873380.02</v>
      </c>
      <c r="Q115" s="2">
        <v>149734.76</v>
      </c>
      <c r="R115">
        <f t="shared" si="3"/>
        <v>0</v>
      </c>
      <c r="S115">
        <f t="shared" si="4"/>
        <v>0</v>
      </c>
      <c r="T115">
        <f t="shared" si="5"/>
        <v>1</v>
      </c>
    </row>
    <row r="116" spans="1:20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>
        <v>0</v>
      </c>
      <c r="I116">
        <v>0</v>
      </c>
      <c r="J116">
        <v>1</v>
      </c>
      <c r="K116" s="2">
        <v>23</v>
      </c>
      <c r="L116" s="2">
        <v>88.4</v>
      </c>
      <c r="M116" s="2">
        <v>5.91</v>
      </c>
      <c r="N116" s="2">
        <v>0</v>
      </c>
      <c r="O116" s="2">
        <v>2.8</v>
      </c>
      <c r="P116" s="2">
        <v>697287.9</v>
      </c>
      <c r="Q116" s="2">
        <v>128208.33</v>
      </c>
      <c r="R116">
        <f t="shared" si="3"/>
        <v>0</v>
      </c>
      <c r="S116">
        <f t="shared" si="4"/>
        <v>0</v>
      </c>
      <c r="T116">
        <f t="shared" si="5"/>
        <v>1</v>
      </c>
    </row>
    <row r="117" spans="1:20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>
        <v>0</v>
      </c>
      <c r="I117">
        <v>0</v>
      </c>
      <c r="J117">
        <v>1</v>
      </c>
      <c r="K117" s="2">
        <v>23</v>
      </c>
      <c r="L117" s="2">
        <v>92.5</v>
      </c>
      <c r="M117" s="2">
        <v>6.37</v>
      </c>
      <c r="N117" s="2">
        <v>0</v>
      </c>
      <c r="O117" s="2">
        <v>3.3</v>
      </c>
      <c r="P117" s="2">
        <v>718074.79</v>
      </c>
      <c r="Q117" s="2">
        <v>115819.87</v>
      </c>
      <c r="R117">
        <f t="shared" si="3"/>
        <v>0</v>
      </c>
      <c r="S117">
        <f t="shared" si="4"/>
        <v>0</v>
      </c>
      <c r="T117">
        <f t="shared" si="5"/>
        <v>1</v>
      </c>
    </row>
    <row r="118" spans="1:20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>
        <v>0</v>
      </c>
      <c r="I118">
        <v>0</v>
      </c>
      <c r="J118">
        <v>1</v>
      </c>
      <c r="K118" s="2">
        <v>17</v>
      </c>
      <c r="L118" s="2">
        <v>91</v>
      </c>
      <c r="M118" s="2">
        <v>2.4900000000000002</v>
      </c>
      <c r="N118" s="2">
        <v>1</v>
      </c>
      <c r="O118" s="2">
        <v>4.7</v>
      </c>
      <c r="P118" s="2">
        <v>714942.43</v>
      </c>
      <c r="Q118" s="2">
        <v>94697.71</v>
      </c>
      <c r="R118">
        <f t="shared" si="3"/>
        <v>0</v>
      </c>
      <c r="S118">
        <f t="shared" si="4"/>
        <v>0</v>
      </c>
      <c r="T118">
        <f t="shared" si="5"/>
        <v>0</v>
      </c>
    </row>
    <row r="119" spans="1:20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>
        <v>0</v>
      </c>
      <c r="I119">
        <v>0</v>
      </c>
      <c r="J119">
        <v>1</v>
      </c>
      <c r="K119" s="2">
        <v>19</v>
      </c>
      <c r="L119" s="2">
        <v>84.1</v>
      </c>
      <c r="M119" s="2">
        <v>1.56</v>
      </c>
      <c r="N119" s="2">
        <v>0</v>
      </c>
      <c r="O119" s="2">
        <v>4.7</v>
      </c>
      <c r="P119" s="2">
        <v>820519.04</v>
      </c>
      <c r="Q119" s="2">
        <v>99035.88</v>
      </c>
      <c r="R119">
        <f t="shared" si="3"/>
        <v>0</v>
      </c>
      <c r="S119">
        <f t="shared" si="4"/>
        <v>0</v>
      </c>
      <c r="T119">
        <f t="shared" si="5"/>
        <v>0</v>
      </c>
    </row>
    <row r="120" spans="1:20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>
        <v>0</v>
      </c>
      <c r="I120">
        <v>0</v>
      </c>
      <c r="J120">
        <v>1</v>
      </c>
      <c r="K120" s="2">
        <v>18</v>
      </c>
      <c r="L120" s="2">
        <v>96.8</v>
      </c>
      <c r="M120" s="2">
        <v>14.95</v>
      </c>
      <c r="N120" s="2">
        <v>0</v>
      </c>
      <c r="O120" s="2">
        <v>4.5999999999999996</v>
      </c>
      <c r="P120" s="2">
        <v>684217.32</v>
      </c>
      <c r="Q120" s="2">
        <v>136217.19</v>
      </c>
      <c r="R120">
        <f t="shared" si="3"/>
        <v>0</v>
      </c>
      <c r="S120">
        <f t="shared" si="4"/>
        <v>0</v>
      </c>
      <c r="T120">
        <f t="shared" si="5"/>
        <v>0</v>
      </c>
    </row>
    <row r="121" spans="1:20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>
        <v>0</v>
      </c>
      <c r="I121">
        <v>0</v>
      </c>
      <c r="J121">
        <v>1</v>
      </c>
      <c r="K121" s="2">
        <v>19</v>
      </c>
      <c r="L121" s="2">
        <v>95.7</v>
      </c>
      <c r="M121" s="2">
        <v>7.85</v>
      </c>
      <c r="N121" s="2">
        <v>0</v>
      </c>
      <c r="O121" s="2">
        <v>4.7</v>
      </c>
      <c r="P121" s="2">
        <v>735480.19</v>
      </c>
      <c r="Q121" s="2">
        <v>88342.11</v>
      </c>
      <c r="R121">
        <f t="shared" si="3"/>
        <v>0</v>
      </c>
      <c r="S121">
        <f t="shared" si="4"/>
        <v>0</v>
      </c>
      <c r="T121">
        <f t="shared" si="5"/>
        <v>0</v>
      </c>
    </row>
    <row r="122" spans="1:20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>
        <v>1</v>
      </c>
      <c r="I122">
        <v>0</v>
      </c>
      <c r="J122">
        <v>0</v>
      </c>
      <c r="K122" s="2">
        <v>13</v>
      </c>
      <c r="L122" s="2">
        <v>83</v>
      </c>
      <c r="M122" s="2">
        <v>6.8</v>
      </c>
      <c r="N122" s="2">
        <v>0</v>
      </c>
      <c r="O122" s="2">
        <v>4.4000000000000004</v>
      </c>
      <c r="P122" s="2">
        <v>509484.81</v>
      </c>
      <c r="Q122" s="2">
        <v>85742.36</v>
      </c>
      <c r="R122">
        <f t="shared" si="3"/>
        <v>1</v>
      </c>
      <c r="S122">
        <f t="shared" si="4"/>
        <v>0</v>
      </c>
      <c r="T122">
        <f t="shared" si="5"/>
        <v>0</v>
      </c>
    </row>
    <row r="123" spans="1:20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>
        <v>1</v>
      </c>
      <c r="I123">
        <v>0</v>
      </c>
      <c r="J123">
        <v>0</v>
      </c>
      <c r="K123" s="2">
        <v>14</v>
      </c>
      <c r="L123" s="2">
        <v>89.4</v>
      </c>
      <c r="M123" s="2">
        <v>2.2000000000000002</v>
      </c>
      <c r="N123" s="2">
        <v>0</v>
      </c>
      <c r="O123" s="2">
        <v>3.7</v>
      </c>
      <c r="P123" s="2">
        <v>654317.09</v>
      </c>
      <c r="Q123" s="2">
        <v>121446.89</v>
      </c>
      <c r="R123">
        <f t="shared" si="3"/>
        <v>1</v>
      </c>
      <c r="S123">
        <f t="shared" si="4"/>
        <v>0</v>
      </c>
      <c r="T123">
        <f t="shared" si="5"/>
        <v>0</v>
      </c>
    </row>
    <row r="124" spans="1:20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>
        <v>1</v>
      </c>
      <c r="I124">
        <v>0</v>
      </c>
      <c r="J124">
        <v>0</v>
      </c>
      <c r="K124" s="2">
        <v>15</v>
      </c>
      <c r="L124" s="2">
        <v>85.7</v>
      </c>
      <c r="M124" s="2">
        <v>1.88</v>
      </c>
      <c r="N124" s="2">
        <v>0</v>
      </c>
      <c r="O124" s="2">
        <v>3.9</v>
      </c>
      <c r="P124" s="2">
        <v>557487.26</v>
      </c>
      <c r="Q124" s="2">
        <v>76432.19</v>
      </c>
      <c r="R124">
        <f t="shared" si="3"/>
        <v>1</v>
      </c>
      <c r="S124">
        <f t="shared" si="4"/>
        <v>0</v>
      </c>
      <c r="T124">
        <f t="shared" si="5"/>
        <v>0</v>
      </c>
    </row>
    <row r="125" spans="1:20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>
        <v>1</v>
      </c>
      <c r="I125">
        <v>0</v>
      </c>
      <c r="J125">
        <v>0</v>
      </c>
      <c r="K125" s="2">
        <v>10</v>
      </c>
      <c r="L125" s="2">
        <v>97.8</v>
      </c>
      <c r="M125" s="2">
        <v>15.79</v>
      </c>
      <c r="N125" s="2">
        <v>0</v>
      </c>
      <c r="O125" s="2">
        <v>4.4000000000000004</v>
      </c>
      <c r="P125" s="2">
        <v>441275.42</v>
      </c>
      <c r="Q125" s="2">
        <v>58234.87</v>
      </c>
      <c r="R125">
        <f t="shared" si="3"/>
        <v>1</v>
      </c>
      <c r="S125">
        <f t="shared" si="4"/>
        <v>0</v>
      </c>
      <c r="T125">
        <f t="shared" si="5"/>
        <v>0</v>
      </c>
    </row>
    <row r="126" spans="1:20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>
        <v>0</v>
      </c>
      <c r="I126">
        <v>1</v>
      </c>
      <c r="J126">
        <v>0</v>
      </c>
      <c r="K126" s="2">
        <v>25</v>
      </c>
      <c r="L126" s="2">
        <v>88.1</v>
      </c>
      <c r="M126" s="2">
        <v>2.34</v>
      </c>
      <c r="N126" s="2">
        <v>1</v>
      </c>
      <c r="O126" s="2">
        <v>4.8</v>
      </c>
      <c r="P126" s="2">
        <v>914544.17</v>
      </c>
      <c r="Q126" s="2">
        <v>79831.73</v>
      </c>
      <c r="R126">
        <f t="shared" si="3"/>
        <v>1</v>
      </c>
      <c r="S126">
        <f t="shared" si="4"/>
        <v>0</v>
      </c>
      <c r="T126">
        <f t="shared" si="5"/>
        <v>0</v>
      </c>
    </row>
    <row r="127" spans="1:20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>
        <v>0</v>
      </c>
      <c r="I127">
        <v>1</v>
      </c>
      <c r="J127">
        <v>0</v>
      </c>
      <c r="K127" s="2">
        <v>27</v>
      </c>
      <c r="L127" s="2">
        <v>98.3</v>
      </c>
      <c r="M127" s="2">
        <v>0.54</v>
      </c>
      <c r="N127" s="2">
        <v>0</v>
      </c>
      <c r="O127" s="2">
        <v>4.4000000000000004</v>
      </c>
      <c r="P127" s="2">
        <v>842439.67</v>
      </c>
      <c r="Q127" s="2">
        <v>169983.63</v>
      </c>
      <c r="R127">
        <f t="shared" si="3"/>
        <v>1</v>
      </c>
      <c r="S127">
        <f t="shared" si="4"/>
        <v>0</v>
      </c>
      <c r="T127">
        <f t="shared" si="5"/>
        <v>0</v>
      </c>
    </row>
    <row r="128" spans="1:20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>
        <v>0</v>
      </c>
      <c r="I128">
        <v>1</v>
      </c>
      <c r="J128">
        <v>0</v>
      </c>
      <c r="K128" s="2">
        <v>20</v>
      </c>
      <c r="L128" s="2">
        <v>88.2</v>
      </c>
      <c r="M128" s="2">
        <v>5.37</v>
      </c>
      <c r="N128" s="2">
        <v>1</v>
      </c>
      <c r="O128" s="2">
        <v>4.9000000000000004</v>
      </c>
      <c r="P128" s="2">
        <v>842157.92</v>
      </c>
      <c r="Q128" s="2">
        <v>107348.22</v>
      </c>
      <c r="R128">
        <f t="shared" si="3"/>
        <v>1</v>
      </c>
      <c r="S128">
        <f t="shared" si="4"/>
        <v>0</v>
      </c>
      <c r="T128">
        <f t="shared" si="5"/>
        <v>0</v>
      </c>
    </row>
    <row r="129" spans="1:20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>
        <v>0</v>
      </c>
      <c r="I129">
        <v>1</v>
      </c>
      <c r="J129">
        <v>0</v>
      </c>
      <c r="K129" s="2">
        <v>19</v>
      </c>
      <c r="L129" s="2">
        <v>81.5</v>
      </c>
      <c r="M129" s="2">
        <v>3.19</v>
      </c>
      <c r="N129" s="2">
        <v>0</v>
      </c>
      <c r="O129" s="2">
        <v>4.8</v>
      </c>
      <c r="P129" s="2">
        <v>697155.3</v>
      </c>
      <c r="Q129" s="2">
        <v>136408.54</v>
      </c>
      <c r="R129">
        <f t="shared" si="3"/>
        <v>1</v>
      </c>
      <c r="S129">
        <f t="shared" si="4"/>
        <v>0</v>
      </c>
      <c r="T129">
        <f t="shared" si="5"/>
        <v>0</v>
      </c>
    </row>
    <row r="130" spans="1:20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>
        <v>0</v>
      </c>
      <c r="I130">
        <v>0</v>
      </c>
      <c r="J130">
        <v>0</v>
      </c>
      <c r="K130" s="2">
        <v>27</v>
      </c>
      <c r="L130" s="2">
        <v>88.3</v>
      </c>
      <c r="M130" s="2">
        <v>1.1000000000000001</v>
      </c>
      <c r="N130" s="2">
        <v>1</v>
      </c>
      <c r="O130" s="2">
        <v>4.4000000000000004</v>
      </c>
      <c r="P130" s="2">
        <v>849018.3</v>
      </c>
      <c r="Q130" s="2">
        <v>149035.13</v>
      </c>
      <c r="R130">
        <f t="shared" si="3"/>
        <v>1</v>
      </c>
      <c r="S130">
        <f t="shared" si="4"/>
        <v>0</v>
      </c>
      <c r="T130">
        <f t="shared" si="5"/>
        <v>0</v>
      </c>
    </row>
    <row r="131" spans="1:20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>
        <v>0</v>
      </c>
      <c r="I131">
        <v>0</v>
      </c>
      <c r="J131">
        <v>0</v>
      </c>
      <c r="K131" s="2">
        <v>25</v>
      </c>
      <c r="L131" s="2">
        <v>81.2</v>
      </c>
      <c r="M131" s="2">
        <v>0.21</v>
      </c>
      <c r="N131" s="2">
        <v>0</v>
      </c>
      <c r="O131" s="2">
        <v>4</v>
      </c>
      <c r="P131" s="2">
        <v>801830.35</v>
      </c>
      <c r="Q131" s="2">
        <v>114875.32</v>
      </c>
      <c r="R131">
        <f t="shared" ref="R131:R194" si="6">IF($D131="High Street", 1, 0)</f>
        <v>1</v>
      </c>
      <c r="S131">
        <f t="shared" ref="S131:S194" si="7">IF($D131="Airport", 1, 0)</f>
        <v>0</v>
      </c>
      <c r="T131">
        <f t="shared" ref="T131:T194" si="8">IF($D131="Mall", 1, 0)</f>
        <v>0</v>
      </c>
    </row>
    <row r="132" spans="1:20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>
        <v>0</v>
      </c>
      <c r="I132">
        <v>0</v>
      </c>
      <c r="J132">
        <v>0</v>
      </c>
      <c r="K132" s="2">
        <v>19</v>
      </c>
      <c r="L132" s="2">
        <v>93.8</v>
      </c>
      <c r="M132" s="2">
        <v>5.12</v>
      </c>
      <c r="N132" s="2">
        <v>1</v>
      </c>
      <c r="O132" s="2">
        <v>4.5</v>
      </c>
      <c r="P132" s="2">
        <v>725235.28</v>
      </c>
      <c r="Q132" s="2">
        <v>121632.24</v>
      </c>
      <c r="R132">
        <f t="shared" si="6"/>
        <v>1</v>
      </c>
      <c r="S132">
        <f t="shared" si="7"/>
        <v>0</v>
      </c>
      <c r="T132">
        <f t="shared" si="8"/>
        <v>0</v>
      </c>
    </row>
    <row r="133" spans="1:20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>
        <v>0</v>
      </c>
      <c r="I133">
        <v>0</v>
      </c>
      <c r="J133">
        <v>0</v>
      </c>
      <c r="K133" s="2">
        <v>25</v>
      </c>
      <c r="L133" s="2">
        <v>85</v>
      </c>
      <c r="M133" s="2">
        <v>9.77</v>
      </c>
      <c r="N133" s="2">
        <v>0</v>
      </c>
      <c r="O133" s="2">
        <v>4.5</v>
      </c>
      <c r="P133" s="2">
        <v>811452.72</v>
      </c>
      <c r="Q133" s="2">
        <v>131325.67000000001</v>
      </c>
      <c r="R133">
        <f t="shared" si="6"/>
        <v>1</v>
      </c>
      <c r="S133">
        <f t="shared" si="7"/>
        <v>0</v>
      </c>
      <c r="T133">
        <f t="shared" si="8"/>
        <v>0</v>
      </c>
    </row>
    <row r="134" spans="1:20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>
        <v>1</v>
      </c>
      <c r="I134">
        <v>0</v>
      </c>
      <c r="J134">
        <v>0</v>
      </c>
      <c r="K134" s="2">
        <v>9</v>
      </c>
      <c r="L134" s="2">
        <v>87.9</v>
      </c>
      <c r="M134" s="2">
        <v>3.77</v>
      </c>
      <c r="N134" s="2">
        <v>0</v>
      </c>
      <c r="O134" s="2">
        <v>4.4000000000000004</v>
      </c>
      <c r="P134" s="2">
        <v>527300.13</v>
      </c>
      <c r="Q134" s="2">
        <v>84197.87</v>
      </c>
      <c r="R134">
        <f t="shared" si="6"/>
        <v>1</v>
      </c>
      <c r="S134">
        <f t="shared" si="7"/>
        <v>0</v>
      </c>
      <c r="T134">
        <f t="shared" si="8"/>
        <v>0</v>
      </c>
    </row>
    <row r="135" spans="1:20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>
        <v>1</v>
      </c>
      <c r="I135">
        <v>0</v>
      </c>
      <c r="J135">
        <v>0</v>
      </c>
      <c r="K135" s="2">
        <v>8</v>
      </c>
      <c r="L135" s="2">
        <v>81.099999999999994</v>
      </c>
      <c r="M135" s="2">
        <v>0.78</v>
      </c>
      <c r="N135" s="2">
        <v>0</v>
      </c>
      <c r="O135" s="2"/>
      <c r="P135" s="2">
        <v>400831.65</v>
      </c>
      <c r="Q135" s="2">
        <v>70979.31</v>
      </c>
      <c r="R135">
        <f t="shared" si="6"/>
        <v>1</v>
      </c>
      <c r="S135">
        <f t="shared" si="7"/>
        <v>0</v>
      </c>
      <c r="T135">
        <f t="shared" si="8"/>
        <v>0</v>
      </c>
    </row>
    <row r="136" spans="1:20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>
        <v>1</v>
      </c>
      <c r="I136">
        <v>0</v>
      </c>
      <c r="J136">
        <v>0</v>
      </c>
      <c r="K136" s="2">
        <v>11</v>
      </c>
      <c r="L136" s="2">
        <v>95.6</v>
      </c>
      <c r="M136" s="2">
        <v>5.17</v>
      </c>
      <c r="N136" s="2">
        <v>1</v>
      </c>
      <c r="O136" s="2">
        <v>4.4000000000000004</v>
      </c>
      <c r="P136" s="2">
        <v>593247.25</v>
      </c>
      <c r="Q136" s="2">
        <v>81240.289999999994</v>
      </c>
      <c r="R136">
        <f t="shared" si="6"/>
        <v>1</v>
      </c>
      <c r="S136">
        <f t="shared" si="7"/>
        <v>0</v>
      </c>
      <c r="T136">
        <f t="shared" si="8"/>
        <v>0</v>
      </c>
    </row>
    <row r="137" spans="1:20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>
        <v>1</v>
      </c>
      <c r="I137">
        <v>0</v>
      </c>
      <c r="J137">
        <v>0</v>
      </c>
      <c r="K137" s="2">
        <v>8</v>
      </c>
      <c r="L137" s="2">
        <v>89.8</v>
      </c>
      <c r="M137" s="2">
        <v>3.2</v>
      </c>
      <c r="N137" s="2">
        <v>0</v>
      </c>
      <c r="O137" s="2">
        <v>4.5999999999999996</v>
      </c>
      <c r="P137" s="2">
        <v>529075.94999999995</v>
      </c>
      <c r="Q137" s="2">
        <v>95978.83</v>
      </c>
      <c r="R137">
        <f t="shared" si="6"/>
        <v>1</v>
      </c>
      <c r="S137">
        <f t="shared" si="7"/>
        <v>0</v>
      </c>
      <c r="T137">
        <f t="shared" si="8"/>
        <v>0</v>
      </c>
    </row>
    <row r="138" spans="1:20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>
        <v>0</v>
      </c>
      <c r="I138">
        <v>1</v>
      </c>
      <c r="J138">
        <v>0</v>
      </c>
      <c r="K138" s="2">
        <v>20</v>
      </c>
      <c r="L138" s="2">
        <v>78.099999999999994</v>
      </c>
      <c r="M138" s="2">
        <v>3.4</v>
      </c>
      <c r="N138" s="2">
        <v>0</v>
      </c>
      <c r="O138" s="2"/>
      <c r="P138" s="2">
        <v>633638.03</v>
      </c>
      <c r="Q138" s="2">
        <v>99402.01</v>
      </c>
      <c r="R138">
        <f t="shared" si="6"/>
        <v>0</v>
      </c>
      <c r="S138">
        <f t="shared" si="7"/>
        <v>0</v>
      </c>
      <c r="T138">
        <f t="shared" si="8"/>
        <v>0</v>
      </c>
    </row>
    <row r="139" spans="1:20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>
        <v>0</v>
      </c>
      <c r="I139">
        <v>1</v>
      </c>
      <c r="J139">
        <v>0</v>
      </c>
      <c r="K139" s="2">
        <v>15</v>
      </c>
      <c r="L139" s="2">
        <v>96.3</v>
      </c>
      <c r="M139" s="2">
        <v>7.38</v>
      </c>
      <c r="N139" s="2">
        <v>0</v>
      </c>
      <c r="O139" s="2">
        <v>3.7</v>
      </c>
      <c r="P139" s="2">
        <v>743348.84</v>
      </c>
      <c r="Q139" s="2">
        <v>104186.09</v>
      </c>
      <c r="R139">
        <f t="shared" si="6"/>
        <v>0</v>
      </c>
      <c r="S139">
        <f t="shared" si="7"/>
        <v>0</v>
      </c>
      <c r="T139">
        <f t="shared" si="8"/>
        <v>0</v>
      </c>
    </row>
    <row r="140" spans="1:20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>
        <v>0</v>
      </c>
      <c r="I140">
        <v>1</v>
      </c>
      <c r="J140">
        <v>0</v>
      </c>
      <c r="K140" s="2">
        <v>18</v>
      </c>
      <c r="L140" s="2">
        <v>90.2</v>
      </c>
      <c r="M140" s="2">
        <v>0.85</v>
      </c>
      <c r="N140" s="2">
        <v>1</v>
      </c>
      <c r="O140" s="2">
        <v>3.3</v>
      </c>
      <c r="P140" s="2">
        <v>758827.64</v>
      </c>
      <c r="Q140" s="2">
        <v>161439.48000000001</v>
      </c>
      <c r="R140">
        <f t="shared" si="6"/>
        <v>0</v>
      </c>
      <c r="S140">
        <f t="shared" si="7"/>
        <v>0</v>
      </c>
      <c r="T140">
        <f t="shared" si="8"/>
        <v>0</v>
      </c>
    </row>
    <row r="141" spans="1:20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>
        <v>0</v>
      </c>
      <c r="I141">
        <v>1</v>
      </c>
      <c r="J141">
        <v>0</v>
      </c>
      <c r="K141" s="2">
        <v>12</v>
      </c>
      <c r="L141" s="2">
        <v>90</v>
      </c>
      <c r="M141" s="2">
        <v>2.89</v>
      </c>
      <c r="N141" s="2">
        <v>0</v>
      </c>
      <c r="O141" s="2">
        <v>3.6</v>
      </c>
      <c r="P141" s="2">
        <v>646559.71</v>
      </c>
      <c r="Q141" s="2">
        <v>97981.75</v>
      </c>
      <c r="R141">
        <f t="shared" si="6"/>
        <v>0</v>
      </c>
      <c r="S141">
        <f t="shared" si="7"/>
        <v>0</v>
      </c>
      <c r="T141">
        <f t="shared" si="8"/>
        <v>0</v>
      </c>
    </row>
    <row r="142" spans="1:20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>
        <v>0</v>
      </c>
      <c r="I142">
        <v>0</v>
      </c>
      <c r="J142">
        <v>1</v>
      </c>
      <c r="K142" s="2">
        <v>14</v>
      </c>
      <c r="L142" s="2">
        <v>88.8</v>
      </c>
      <c r="M142" s="2">
        <v>0.77</v>
      </c>
      <c r="N142" s="2">
        <v>0</v>
      </c>
      <c r="O142" s="2">
        <v>4.0999999999999996</v>
      </c>
      <c r="P142" s="2">
        <v>715890.53</v>
      </c>
      <c r="Q142" s="2">
        <v>109032.15</v>
      </c>
      <c r="R142">
        <f t="shared" si="6"/>
        <v>1</v>
      </c>
      <c r="S142">
        <f t="shared" si="7"/>
        <v>0</v>
      </c>
      <c r="T142">
        <f t="shared" si="8"/>
        <v>0</v>
      </c>
    </row>
    <row r="143" spans="1:20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>
        <v>0</v>
      </c>
      <c r="I143">
        <v>0</v>
      </c>
      <c r="J143">
        <v>1</v>
      </c>
      <c r="K143" s="2">
        <v>15</v>
      </c>
      <c r="L143" s="2">
        <v>94.2</v>
      </c>
      <c r="M143" s="2">
        <v>2.92</v>
      </c>
      <c r="N143" s="2">
        <v>0</v>
      </c>
      <c r="O143" s="2">
        <v>4.2</v>
      </c>
      <c r="P143" s="2">
        <v>715097.57</v>
      </c>
      <c r="Q143" s="2">
        <v>151875.85999999999</v>
      </c>
      <c r="R143">
        <f t="shared" si="6"/>
        <v>1</v>
      </c>
      <c r="S143">
        <f t="shared" si="7"/>
        <v>0</v>
      </c>
      <c r="T143">
        <f t="shared" si="8"/>
        <v>0</v>
      </c>
    </row>
    <row r="144" spans="1:20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>
        <v>0</v>
      </c>
      <c r="I144">
        <v>0</v>
      </c>
      <c r="J144">
        <v>1</v>
      </c>
      <c r="K144" s="2">
        <v>18</v>
      </c>
      <c r="L144" s="2">
        <v>88.5</v>
      </c>
      <c r="M144" s="2">
        <v>3.07</v>
      </c>
      <c r="N144" s="2">
        <v>0</v>
      </c>
      <c r="O144" s="2">
        <v>3.8</v>
      </c>
      <c r="P144" s="2">
        <v>682639.28</v>
      </c>
      <c r="Q144" s="2">
        <v>77557.53</v>
      </c>
      <c r="R144">
        <f t="shared" si="6"/>
        <v>1</v>
      </c>
      <c r="S144">
        <f t="shared" si="7"/>
        <v>0</v>
      </c>
      <c r="T144">
        <f t="shared" si="8"/>
        <v>0</v>
      </c>
    </row>
    <row r="145" spans="1:20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>
        <v>0</v>
      </c>
      <c r="I145">
        <v>0</v>
      </c>
      <c r="J145">
        <v>1</v>
      </c>
      <c r="K145" s="2">
        <v>19</v>
      </c>
      <c r="L145" s="2">
        <v>94</v>
      </c>
      <c r="M145" s="2">
        <v>9.6999999999999993</v>
      </c>
      <c r="N145" s="2">
        <v>0</v>
      </c>
      <c r="O145" s="2">
        <v>3.9</v>
      </c>
      <c r="P145" s="2">
        <v>695098.51</v>
      </c>
      <c r="Q145" s="2">
        <v>108192.75</v>
      </c>
      <c r="R145">
        <f t="shared" si="6"/>
        <v>1</v>
      </c>
      <c r="S145">
        <f t="shared" si="7"/>
        <v>0</v>
      </c>
      <c r="T145">
        <f t="shared" si="8"/>
        <v>0</v>
      </c>
    </row>
    <row r="146" spans="1:20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>
        <v>1</v>
      </c>
      <c r="I146">
        <v>0</v>
      </c>
      <c r="J146">
        <v>0</v>
      </c>
      <c r="K146" s="2">
        <v>12</v>
      </c>
      <c r="L146" s="2">
        <v>90.2</v>
      </c>
      <c r="M146" s="2">
        <v>3.71</v>
      </c>
      <c r="N146" s="2">
        <v>0</v>
      </c>
      <c r="O146" s="2">
        <v>3.2</v>
      </c>
      <c r="P146" s="2">
        <v>577732.56999999995</v>
      </c>
      <c r="Q146" s="2">
        <v>93804.27</v>
      </c>
      <c r="R146">
        <f t="shared" si="6"/>
        <v>0</v>
      </c>
      <c r="S146">
        <f t="shared" si="7"/>
        <v>0</v>
      </c>
      <c r="T146">
        <f t="shared" si="8"/>
        <v>0</v>
      </c>
    </row>
    <row r="147" spans="1:20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>
        <v>1</v>
      </c>
      <c r="I147">
        <v>0</v>
      </c>
      <c r="J147">
        <v>0</v>
      </c>
      <c r="K147" s="2">
        <v>13</v>
      </c>
      <c r="L147" s="2">
        <v>93.7</v>
      </c>
      <c r="M147" s="2">
        <v>10.79</v>
      </c>
      <c r="N147" s="2">
        <v>0</v>
      </c>
      <c r="O147" s="2">
        <v>3.5</v>
      </c>
      <c r="P147" s="2">
        <v>537058.32999999996</v>
      </c>
      <c r="Q147" s="2">
        <v>93555.71</v>
      </c>
      <c r="R147">
        <f t="shared" si="6"/>
        <v>0</v>
      </c>
      <c r="S147">
        <f t="shared" si="7"/>
        <v>0</v>
      </c>
      <c r="T147">
        <f t="shared" si="8"/>
        <v>0</v>
      </c>
    </row>
    <row r="148" spans="1:20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>
        <v>1</v>
      </c>
      <c r="I148">
        <v>0</v>
      </c>
      <c r="J148">
        <v>0</v>
      </c>
      <c r="K148" s="2">
        <v>15</v>
      </c>
      <c r="L148" s="2">
        <v>93.7</v>
      </c>
      <c r="M148" s="2">
        <v>6.03</v>
      </c>
      <c r="N148" s="2">
        <v>0</v>
      </c>
      <c r="O148" s="2">
        <v>3.4</v>
      </c>
      <c r="P148" s="2">
        <v>601568.87</v>
      </c>
      <c r="Q148" s="2">
        <v>91634.82</v>
      </c>
      <c r="R148">
        <f t="shared" si="6"/>
        <v>0</v>
      </c>
      <c r="S148">
        <f t="shared" si="7"/>
        <v>0</v>
      </c>
      <c r="T148">
        <f t="shared" si="8"/>
        <v>0</v>
      </c>
    </row>
    <row r="149" spans="1:20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>
        <v>1</v>
      </c>
      <c r="I149">
        <v>0</v>
      </c>
      <c r="J149">
        <v>0</v>
      </c>
      <c r="K149" s="2">
        <v>12</v>
      </c>
      <c r="L149" s="2">
        <v>89.4</v>
      </c>
      <c r="M149" s="2">
        <v>4.92</v>
      </c>
      <c r="N149" s="2">
        <v>0</v>
      </c>
      <c r="O149" s="2">
        <v>3.4</v>
      </c>
      <c r="P149" s="2">
        <v>570964.84</v>
      </c>
      <c r="Q149" s="2">
        <v>81331.070000000007</v>
      </c>
      <c r="R149">
        <f t="shared" si="6"/>
        <v>0</v>
      </c>
      <c r="S149">
        <f t="shared" si="7"/>
        <v>0</v>
      </c>
      <c r="T149">
        <f t="shared" si="8"/>
        <v>0</v>
      </c>
    </row>
    <row r="150" spans="1:20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>
        <v>0</v>
      </c>
      <c r="I150">
        <v>1</v>
      </c>
      <c r="J150">
        <v>0</v>
      </c>
      <c r="K150" s="2">
        <v>17</v>
      </c>
      <c r="L150" s="2">
        <v>88.1</v>
      </c>
      <c r="M150" s="2">
        <v>19.78</v>
      </c>
      <c r="N150" s="2">
        <v>0</v>
      </c>
      <c r="O150" s="2">
        <v>3.8</v>
      </c>
      <c r="P150" s="2">
        <v>614024.91</v>
      </c>
      <c r="Q150" s="2">
        <v>84828.93</v>
      </c>
      <c r="R150">
        <f t="shared" si="6"/>
        <v>0</v>
      </c>
      <c r="S150">
        <f t="shared" si="7"/>
        <v>0</v>
      </c>
      <c r="T150">
        <f t="shared" si="8"/>
        <v>1</v>
      </c>
    </row>
    <row r="151" spans="1:20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>
        <v>0</v>
      </c>
      <c r="I151">
        <v>1</v>
      </c>
      <c r="J151">
        <v>0</v>
      </c>
      <c r="K151" s="2">
        <v>13</v>
      </c>
      <c r="L151" s="2">
        <v>99</v>
      </c>
      <c r="M151" s="2">
        <v>5.45</v>
      </c>
      <c r="N151" s="2">
        <v>0</v>
      </c>
      <c r="O151" s="2">
        <v>4.0999999999999996</v>
      </c>
      <c r="P151" s="2">
        <v>712868.35</v>
      </c>
      <c r="Q151" s="2">
        <v>133650.51</v>
      </c>
      <c r="R151">
        <f t="shared" si="6"/>
        <v>0</v>
      </c>
      <c r="S151">
        <f t="shared" si="7"/>
        <v>0</v>
      </c>
      <c r="T151">
        <f t="shared" si="8"/>
        <v>1</v>
      </c>
    </row>
    <row r="152" spans="1:20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>
        <v>0</v>
      </c>
      <c r="I152">
        <v>1</v>
      </c>
      <c r="J152">
        <v>0</v>
      </c>
      <c r="K152" s="2">
        <v>12</v>
      </c>
      <c r="L152" s="2">
        <v>95</v>
      </c>
      <c r="M152" s="2">
        <v>2.33</v>
      </c>
      <c r="N152" s="2">
        <v>1</v>
      </c>
      <c r="O152" s="2">
        <v>3.7</v>
      </c>
      <c r="P152" s="2">
        <v>696744.15</v>
      </c>
      <c r="Q152" s="2">
        <v>152230.09</v>
      </c>
      <c r="R152">
        <f t="shared" si="6"/>
        <v>0</v>
      </c>
      <c r="S152">
        <f t="shared" si="7"/>
        <v>0</v>
      </c>
      <c r="T152">
        <f t="shared" si="8"/>
        <v>1</v>
      </c>
    </row>
    <row r="153" spans="1:20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>
        <v>0</v>
      </c>
      <c r="I153">
        <v>1</v>
      </c>
      <c r="J153">
        <v>0</v>
      </c>
      <c r="K153" s="2">
        <v>15</v>
      </c>
      <c r="L153" s="2">
        <v>94.3</v>
      </c>
      <c r="M153" s="2">
        <v>3.55</v>
      </c>
      <c r="N153" s="2">
        <v>0</v>
      </c>
      <c r="O153" s="2">
        <v>4.0999999999999996</v>
      </c>
      <c r="P153" s="2">
        <v>725847.99</v>
      </c>
      <c r="Q153" s="2">
        <v>122698.73</v>
      </c>
      <c r="R153">
        <f t="shared" si="6"/>
        <v>0</v>
      </c>
      <c r="S153">
        <f t="shared" si="7"/>
        <v>0</v>
      </c>
      <c r="T153">
        <f t="shared" si="8"/>
        <v>1</v>
      </c>
    </row>
    <row r="154" spans="1:20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>
        <v>0</v>
      </c>
      <c r="I154">
        <v>0</v>
      </c>
      <c r="J154">
        <v>0</v>
      </c>
      <c r="K154" s="2">
        <v>21</v>
      </c>
      <c r="L154" s="2">
        <v>87.4</v>
      </c>
      <c r="M154" s="2">
        <v>0.2</v>
      </c>
      <c r="N154" s="2">
        <v>0</v>
      </c>
      <c r="O154" s="2">
        <v>4.5</v>
      </c>
      <c r="P154" s="2">
        <v>785028.25</v>
      </c>
      <c r="Q154" s="2">
        <v>110726.44</v>
      </c>
      <c r="R154">
        <f t="shared" si="6"/>
        <v>1</v>
      </c>
      <c r="S154">
        <f t="shared" si="7"/>
        <v>0</v>
      </c>
      <c r="T154">
        <f t="shared" si="8"/>
        <v>0</v>
      </c>
    </row>
    <row r="155" spans="1:20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>
        <v>0</v>
      </c>
      <c r="I155">
        <v>0</v>
      </c>
      <c r="J155">
        <v>0</v>
      </c>
      <c r="K155" s="2">
        <v>18</v>
      </c>
      <c r="L155" s="2">
        <v>87</v>
      </c>
      <c r="M155" s="2">
        <v>2.09</v>
      </c>
      <c r="N155" s="2">
        <v>0</v>
      </c>
      <c r="O155" s="2">
        <v>4.2</v>
      </c>
      <c r="P155" s="2">
        <v>698492.67</v>
      </c>
      <c r="Q155" s="2">
        <v>117319.32</v>
      </c>
      <c r="R155">
        <f t="shared" si="6"/>
        <v>1</v>
      </c>
      <c r="S155">
        <f t="shared" si="7"/>
        <v>0</v>
      </c>
      <c r="T155">
        <f t="shared" si="8"/>
        <v>0</v>
      </c>
    </row>
    <row r="156" spans="1:20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>
        <v>0</v>
      </c>
      <c r="I156">
        <v>0</v>
      </c>
      <c r="J156">
        <v>0</v>
      </c>
      <c r="K156" s="2">
        <v>16</v>
      </c>
      <c r="L156" s="2">
        <v>90.5</v>
      </c>
      <c r="M156" s="2">
        <v>2.2599999999999998</v>
      </c>
      <c r="N156" s="2">
        <v>0</v>
      </c>
      <c r="O156" s="2">
        <v>4.2</v>
      </c>
      <c r="P156" s="2">
        <v>685830.24</v>
      </c>
      <c r="Q156" s="2">
        <v>128736.18</v>
      </c>
      <c r="R156">
        <f t="shared" si="6"/>
        <v>1</v>
      </c>
      <c r="S156">
        <f t="shared" si="7"/>
        <v>0</v>
      </c>
      <c r="T156">
        <f t="shared" si="8"/>
        <v>0</v>
      </c>
    </row>
    <row r="157" spans="1:20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>
        <v>0</v>
      </c>
      <c r="I157">
        <v>0</v>
      </c>
      <c r="J157">
        <v>0</v>
      </c>
      <c r="K157" s="2">
        <v>19</v>
      </c>
      <c r="L157" s="2">
        <v>90.1</v>
      </c>
      <c r="M157" s="2">
        <v>0.44</v>
      </c>
      <c r="N157" s="2">
        <v>0</v>
      </c>
      <c r="O157" s="2">
        <v>4.4000000000000004</v>
      </c>
      <c r="P157" s="2">
        <v>702318.94</v>
      </c>
      <c r="Q157" s="2">
        <v>112829.29</v>
      </c>
      <c r="R157">
        <f t="shared" si="6"/>
        <v>1</v>
      </c>
      <c r="S157">
        <f t="shared" si="7"/>
        <v>0</v>
      </c>
      <c r="T157">
        <f t="shared" si="8"/>
        <v>0</v>
      </c>
    </row>
    <row r="158" spans="1:20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>
        <v>1</v>
      </c>
      <c r="I158">
        <v>0</v>
      </c>
      <c r="J158">
        <v>0</v>
      </c>
      <c r="K158" s="2">
        <v>19</v>
      </c>
      <c r="L158" s="2">
        <v>85.2</v>
      </c>
      <c r="M158" s="2">
        <v>3.08</v>
      </c>
      <c r="N158" s="2">
        <v>0</v>
      </c>
      <c r="O158" s="2">
        <v>3.9</v>
      </c>
      <c r="P158" s="2">
        <v>700078.32</v>
      </c>
      <c r="Q158" s="2">
        <v>123707.58</v>
      </c>
      <c r="R158">
        <f t="shared" si="6"/>
        <v>0</v>
      </c>
      <c r="S158">
        <f t="shared" si="7"/>
        <v>0</v>
      </c>
      <c r="T158">
        <f t="shared" si="8"/>
        <v>1</v>
      </c>
    </row>
    <row r="159" spans="1:20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>
        <v>1</v>
      </c>
      <c r="I159">
        <v>0</v>
      </c>
      <c r="J159">
        <v>0</v>
      </c>
      <c r="K159" s="2">
        <v>11</v>
      </c>
      <c r="L159" s="2">
        <v>91.6</v>
      </c>
      <c r="M159" s="2">
        <v>7.99</v>
      </c>
      <c r="N159" s="2">
        <v>0</v>
      </c>
      <c r="O159" s="2">
        <v>3</v>
      </c>
      <c r="P159" s="2">
        <v>602002.31999999995</v>
      </c>
      <c r="Q159" s="2">
        <v>110453.28</v>
      </c>
      <c r="R159">
        <f t="shared" si="6"/>
        <v>0</v>
      </c>
      <c r="S159">
        <f t="shared" si="7"/>
        <v>0</v>
      </c>
      <c r="T159">
        <f t="shared" si="8"/>
        <v>1</v>
      </c>
    </row>
    <row r="160" spans="1:20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>
        <v>1</v>
      </c>
      <c r="I160">
        <v>0</v>
      </c>
      <c r="J160">
        <v>0</v>
      </c>
      <c r="K160" s="2">
        <v>18</v>
      </c>
      <c r="L160" s="2">
        <v>74.2</v>
      </c>
      <c r="M160" s="2">
        <v>0.2</v>
      </c>
      <c r="N160" s="2">
        <v>0</v>
      </c>
      <c r="O160" s="2">
        <v>3.4</v>
      </c>
      <c r="P160" s="2">
        <v>724216.07</v>
      </c>
      <c r="Q160" s="2">
        <v>100627.56</v>
      </c>
      <c r="R160">
        <f t="shared" si="6"/>
        <v>0</v>
      </c>
      <c r="S160">
        <f t="shared" si="7"/>
        <v>0</v>
      </c>
      <c r="T160">
        <f t="shared" si="8"/>
        <v>1</v>
      </c>
    </row>
    <row r="161" spans="1:20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>
        <v>1</v>
      </c>
      <c r="I161">
        <v>0</v>
      </c>
      <c r="J161">
        <v>0</v>
      </c>
      <c r="K161" s="2">
        <v>12</v>
      </c>
      <c r="L161" s="2">
        <v>93</v>
      </c>
      <c r="M161" s="2">
        <v>5.46</v>
      </c>
      <c r="N161" s="2">
        <v>0</v>
      </c>
      <c r="O161" s="2">
        <v>3.3</v>
      </c>
      <c r="P161" s="2">
        <v>620973.03</v>
      </c>
      <c r="Q161" s="2">
        <v>72303.850000000006</v>
      </c>
      <c r="R161">
        <f t="shared" si="6"/>
        <v>0</v>
      </c>
      <c r="S161">
        <f t="shared" si="7"/>
        <v>0</v>
      </c>
      <c r="T161">
        <f t="shared" si="8"/>
        <v>1</v>
      </c>
    </row>
    <row r="162" spans="1:20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>
        <v>0</v>
      </c>
      <c r="I162">
        <v>1</v>
      </c>
      <c r="J162">
        <v>0</v>
      </c>
      <c r="K162" s="2">
        <v>16</v>
      </c>
      <c r="L162" s="2">
        <v>90.1</v>
      </c>
      <c r="M162" s="2">
        <v>4.05</v>
      </c>
      <c r="N162" s="2">
        <v>0</v>
      </c>
      <c r="O162" s="2">
        <v>4</v>
      </c>
      <c r="P162" s="2">
        <v>650480.06000000006</v>
      </c>
      <c r="Q162" s="2">
        <v>109012.07</v>
      </c>
      <c r="R162">
        <f t="shared" si="6"/>
        <v>1</v>
      </c>
      <c r="S162">
        <f t="shared" si="7"/>
        <v>0</v>
      </c>
      <c r="T162">
        <f t="shared" si="8"/>
        <v>0</v>
      </c>
    </row>
    <row r="163" spans="1:20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>
        <v>0</v>
      </c>
      <c r="I163">
        <v>1</v>
      </c>
      <c r="J163">
        <v>0</v>
      </c>
      <c r="K163" s="2">
        <v>20</v>
      </c>
      <c r="L163" s="2">
        <v>91</v>
      </c>
      <c r="M163" s="2">
        <v>4.3600000000000003</v>
      </c>
      <c r="N163" s="2">
        <v>0</v>
      </c>
      <c r="O163" s="2">
        <v>4.2</v>
      </c>
      <c r="P163" s="2">
        <v>778298.88</v>
      </c>
      <c r="Q163" s="2">
        <v>130076.72</v>
      </c>
      <c r="R163">
        <f t="shared" si="6"/>
        <v>1</v>
      </c>
      <c r="S163">
        <f t="shared" si="7"/>
        <v>0</v>
      </c>
      <c r="T163">
        <f t="shared" si="8"/>
        <v>0</v>
      </c>
    </row>
    <row r="164" spans="1:20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>
        <v>0</v>
      </c>
      <c r="I164">
        <v>1</v>
      </c>
      <c r="J164">
        <v>0</v>
      </c>
      <c r="K164" s="2">
        <v>17</v>
      </c>
      <c r="L164" s="2">
        <v>72.599999999999994</v>
      </c>
      <c r="M164" s="2"/>
      <c r="N164" s="2">
        <v>0</v>
      </c>
      <c r="O164" s="2">
        <v>4.2</v>
      </c>
      <c r="P164" s="2">
        <v>677096.71</v>
      </c>
      <c r="Q164" s="2">
        <v>97174.11</v>
      </c>
      <c r="R164">
        <f t="shared" si="6"/>
        <v>1</v>
      </c>
      <c r="S164">
        <f t="shared" si="7"/>
        <v>0</v>
      </c>
      <c r="T164">
        <f t="shared" si="8"/>
        <v>0</v>
      </c>
    </row>
    <row r="165" spans="1:20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>
        <v>0</v>
      </c>
      <c r="I165">
        <v>1</v>
      </c>
      <c r="J165">
        <v>0</v>
      </c>
      <c r="K165" s="2">
        <v>19</v>
      </c>
      <c r="L165" s="2">
        <v>93.8</v>
      </c>
      <c r="M165" s="2">
        <v>0.54</v>
      </c>
      <c r="N165" s="2">
        <v>0</v>
      </c>
      <c r="O165" s="2">
        <v>4.3</v>
      </c>
      <c r="P165" s="2">
        <v>692008.64</v>
      </c>
      <c r="Q165" s="2">
        <v>116337.87</v>
      </c>
      <c r="R165">
        <f t="shared" si="6"/>
        <v>1</v>
      </c>
      <c r="S165">
        <f t="shared" si="7"/>
        <v>0</v>
      </c>
      <c r="T165">
        <f t="shared" si="8"/>
        <v>0</v>
      </c>
    </row>
    <row r="166" spans="1:20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>
        <v>1</v>
      </c>
      <c r="I166">
        <v>0</v>
      </c>
      <c r="J166">
        <v>0</v>
      </c>
      <c r="K166" s="2">
        <v>22</v>
      </c>
      <c r="L166" s="2">
        <v>82.9</v>
      </c>
      <c r="M166" s="2">
        <v>11.37</v>
      </c>
      <c r="N166" s="2">
        <v>1</v>
      </c>
      <c r="O166" s="2">
        <v>4.3</v>
      </c>
      <c r="P166" s="2">
        <v>825797.91</v>
      </c>
      <c r="Q166" s="2">
        <v>130945.24</v>
      </c>
      <c r="R166">
        <f t="shared" si="6"/>
        <v>0</v>
      </c>
      <c r="S166">
        <f t="shared" si="7"/>
        <v>0</v>
      </c>
      <c r="T166">
        <f t="shared" si="8"/>
        <v>1</v>
      </c>
    </row>
    <row r="167" spans="1:20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>
        <v>1</v>
      </c>
      <c r="I167">
        <v>0</v>
      </c>
      <c r="J167">
        <v>0</v>
      </c>
      <c r="K167" s="2">
        <v>22</v>
      </c>
      <c r="L167" s="2">
        <v>86.1</v>
      </c>
      <c r="M167" s="2">
        <v>9.43</v>
      </c>
      <c r="N167" s="2">
        <v>0</v>
      </c>
      <c r="O167" s="2">
        <v>4.2</v>
      </c>
      <c r="P167" s="2">
        <v>706285.52</v>
      </c>
      <c r="Q167" s="2">
        <v>138014.72</v>
      </c>
      <c r="R167">
        <f t="shared" si="6"/>
        <v>0</v>
      </c>
      <c r="S167">
        <f t="shared" si="7"/>
        <v>0</v>
      </c>
      <c r="T167">
        <f t="shared" si="8"/>
        <v>1</v>
      </c>
    </row>
    <row r="168" spans="1:20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>
        <v>1</v>
      </c>
      <c r="I168">
        <v>0</v>
      </c>
      <c r="J168">
        <v>0</v>
      </c>
      <c r="K168" s="2">
        <v>16</v>
      </c>
      <c r="L168" s="2">
        <v>90.3</v>
      </c>
      <c r="M168" s="2">
        <v>3.49</v>
      </c>
      <c r="N168" s="2">
        <v>0</v>
      </c>
      <c r="O168" s="2">
        <v>4</v>
      </c>
      <c r="P168" s="2">
        <v>665534.69999999995</v>
      </c>
      <c r="Q168" s="2">
        <v>113167.73</v>
      </c>
      <c r="R168">
        <f t="shared" si="6"/>
        <v>0</v>
      </c>
      <c r="S168">
        <f t="shared" si="7"/>
        <v>0</v>
      </c>
      <c r="T168">
        <f t="shared" si="8"/>
        <v>1</v>
      </c>
    </row>
    <row r="169" spans="1:20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>
        <v>1</v>
      </c>
      <c r="I169">
        <v>0</v>
      </c>
      <c r="J169">
        <v>0</v>
      </c>
      <c r="K169" s="2">
        <v>23</v>
      </c>
      <c r="L169" s="2">
        <v>89.2</v>
      </c>
      <c r="M169" s="2">
        <v>7.86</v>
      </c>
      <c r="N169" s="2">
        <v>0</v>
      </c>
      <c r="O169" s="2">
        <v>4.0999999999999996</v>
      </c>
      <c r="P169" s="2">
        <v>820729.29</v>
      </c>
      <c r="Q169" s="2">
        <v>159325.47</v>
      </c>
      <c r="R169">
        <f t="shared" si="6"/>
        <v>0</v>
      </c>
      <c r="S169">
        <f t="shared" si="7"/>
        <v>0</v>
      </c>
      <c r="T169">
        <f t="shared" si="8"/>
        <v>1</v>
      </c>
    </row>
    <row r="170" spans="1:20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>
        <v>0</v>
      </c>
      <c r="I170">
        <v>0</v>
      </c>
      <c r="J170">
        <v>0</v>
      </c>
      <c r="K170" s="2">
        <v>25</v>
      </c>
      <c r="L170" s="2">
        <v>87.1</v>
      </c>
      <c r="M170" s="2">
        <v>12.55</v>
      </c>
      <c r="N170" s="2">
        <v>0</v>
      </c>
      <c r="O170" s="2">
        <v>4.9000000000000004</v>
      </c>
      <c r="P170" s="2">
        <v>739831.73</v>
      </c>
      <c r="Q170" s="2">
        <v>119490.21</v>
      </c>
      <c r="R170">
        <f t="shared" si="6"/>
        <v>0</v>
      </c>
      <c r="S170">
        <f t="shared" si="7"/>
        <v>0</v>
      </c>
      <c r="T170">
        <f t="shared" si="8"/>
        <v>0</v>
      </c>
    </row>
    <row r="171" spans="1:20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>
        <v>0</v>
      </c>
      <c r="I171">
        <v>0</v>
      </c>
      <c r="J171">
        <v>0</v>
      </c>
      <c r="K171" s="2">
        <v>15</v>
      </c>
      <c r="L171" s="2">
        <v>84.1</v>
      </c>
      <c r="M171" s="2">
        <v>3.48</v>
      </c>
      <c r="N171" s="2">
        <v>0</v>
      </c>
      <c r="O171" s="2">
        <v>5</v>
      </c>
      <c r="P171" s="2">
        <v>593637.14</v>
      </c>
      <c r="Q171" s="2">
        <v>106648.14</v>
      </c>
      <c r="R171">
        <f t="shared" si="6"/>
        <v>0</v>
      </c>
      <c r="S171">
        <f t="shared" si="7"/>
        <v>0</v>
      </c>
      <c r="T171">
        <f t="shared" si="8"/>
        <v>0</v>
      </c>
    </row>
    <row r="172" spans="1:20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>
        <v>0</v>
      </c>
      <c r="I172">
        <v>0</v>
      </c>
      <c r="J172">
        <v>0</v>
      </c>
      <c r="K172" s="2">
        <v>21</v>
      </c>
      <c r="L172" s="2">
        <v>84.7</v>
      </c>
      <c r="M172" s="2">
        <v>7.73</v>
      </c>
      <c r="N172" s="2">
        <v>0</v>
      </c>
      <c r="O172" s="2">
        <v>4.9000000000000004</v>
      </c>
      <c r="P172" s="2">
        <v>769702.76</v>
      </c>
      <c r="Q172" s="2">
        <v>158697</v>
      </c>
      <c r="R172">
        <f t="shared" si="6"/>
        <v>0</v>
      </c>
      <c r="S172">
        <f t="shared" si="7"/>
        <v>0</v>
      </c>
      <c r="T172">
        <f t="shared" si="8"/>
        <v>0</v>
      </c>
    </row>
    <row r="173" spans="1:20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>
        <v>0</v>
      </c>
      <c r="I173">
        <v>0</v>
      </c>
      <c r="J173">
        <v>0</v>
      </c>
      <c r="K173" s="2">
        <v>18</v>
      </c>
      <c r="L173" s="2">
        <v>89.8</v>
      </c>
      <c r="M173" s="2">
        <v>0.25</v>
      </c>
      <c r="N173" s="2">
        <v>0</v>
      </c>
      <c r="O173" s="2">
        <v>4.4000000000000004</v>
      </c>
      <c r="P173" s="2">
        <v>679731.57</v>
      </c>
      <c r="Q173" s="2">
        <v>121546.42</v>
      </c>
      <c r="R173">
        <f t="shared" si="6"/>
        <v>0</v>
      </c>
      <c r="S173">
        <f t="shared" si="7"/>
        <v>0</v>
      </c>
      <c r="T173">
        <f t="shared" si="8"/>
        <v>0</v>
      </c>
    </row>
    <row r="174" spans="1:20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>
        <v>0</v>
      </c>
      <c r="I174">
        <v>0</v>
      </c>
      <c r="J174">
        <v>0</v>
      </c>
      <c r="K174" s="2">
        <v>20</v>
      </c>
      <c r="L174" s="2">
        <v>94.4</v>
      </c>
      <c r="M174" s="2">
        <v>6.43</v>
      </c>
      <c r="N174" s="2">
        <v>0</v>
      </c>
      <c r="O174" s="2">
        <v>3.3</v>
      </c>
      <c r="P174" s="2">
        <v>780344.18</v>
      </c>
      <c r="Q174" s="2">
        <v>118239.09</v>
      </c>
      <c r="R174">
        <f t="shared" si="6"/>
        <v>0</v>
      </c>
      <c r="S174">
        <f t="shared" si="7"/>
        <v>0</v>
      </c>
      <c r="T174">
        <f t="shared" si="8"/>
        <v>0</v>
      </c>
    </row>
    <row r="175" spans="1:20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>
        <v>0</v>
      </c>
      <c r="I175">
        <v>0</v>
      </c>
      <c r="J175">
        <v>0</v>
      </c>
      <c r="K175" s="2">
        <v>22</v>
      </c>
      <c r="L175" s="2">
        <v>89</v>
      </c>
      <c r="M175" s="2">
        <v>2.11</v>
      </c>
      <c r="N175" s="2">
        <v>0</v>
      </c>
      <c r="O175" s="2">
        <v>3.1</v>
      </c>
      <c r="P175" s="2">
        <v>721364.11</v>
      </c>
      <c r="Q175" s="2">
        <v>147272.81</v>
      </c>
      <c r="R175">
        <f t="shared" si="6"/>
        <v>0</v>
      </c>
      <c r="S175">
        <f t="shared" si="7"/>
        <v>0</v>
      </c>
      <c r="T175">
        <f t="shared" si="8"/>
        <v>0</v>
      </c>
    </row>
    <row r="176" spans="1:20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>
        <v>0</v>
      </c>
      <c r="I176">
        <v>0</v>
      </c>
      <c r="J176">
        <v>0</v>
      </c>
      <c r="K176" s="2">
        <v>20</v>
      </c>
      <c r="L176" s="2">
        <v>83.9</v>
      </c>
      <c r="M176" s="2">
        <v>9.1199999999999992</v>
      </c>
      <c r="N176" s="2">
        <v>0</v>
      </c>
      <c r="O176" s="2">
        <v>3.6</v>
      </c>
      <c r="P176" s="2">
        <v>758138.29</v>
      </c>
      <c r="Q176" s="2">
        <v>132975.26</v>
      </c>
      <c r="R176">
        <f t="shared" si="6"/>
        <v>0</v>
      </c>
      <c r="S176">
        <f t="shared" si="7"/>
        <v>0</v>
      </c>
      <c r="T176">
        <f t="shared" si="8"/>
        <v>0</v>
      </c>
    </row>
    <row r="177" spans="1:20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>
        <v>0</v>
      </c>
      <c r="I177">
        <v>0</v>
      </c>
      <c r="J177">
        <v>0</v>
      </c>
      <c r="K177" s="2">
        <v>23</v>
      </c>
      <c r="L177" s="2">
        <v>93.9</v>
      </c>
      <c r="M177" s="2">
        <v>2.71</v>
      </c>
      <c r="N177" s="2">
        <v>0</v>
      </c>
      <c r="O177" s="2">
        <v>3.1</v>
      </c>
      <c r="P177" s="2">
        <v>804264</v>
      </c>
      <c r="Q177" s="2">
        <v>167117.91</v>
      </c>
      <c r="R177">
        <f t="shared" si="6"/>
        <v>0</v>
      </c>
      <c r="S177">
        <f t="shared" si="7"/>
        <v>0</v>
      </c>
      <c r="T177">
        <f t="shared" si="8"/>
        <v>0</v>
      </c>
    </row>
    <row r="178" spans="1:20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>
        <v>0</v>
      </c>
      <c r="I178">
        <v>0</v>
      </c>
      <c r="J178">
        <v>1</v>
      </c>
      <c r="K178" s="2">
        <v>24</v>
      </c>
      <c r="L178" s="2">
        <v>76.599999999999994</v>
      </c>
      <c r="M178" s="2">
        <v>3.65</v>
      </c>
      <c r="N178" s="2">
        <v>1</v>
      </c>
      <c r="O178" s="2">
        <v>3.7</v>
      </c>
      <c r="P178" s="2">
        <v>887537.75</v>
      </c>
      <c r="Q178" s="2">
        <v>160362.92000000001</v>
      </c>
      <c r="R178">
        <f t="shared" si="6"/>
        <v>0</v>
      </c>
      <c r="S178">
        <f t="shared" si="7"/>
        <v>1</v>
      </c>
      <c r="T178">
        <f t="shared" si="8"/>
        <v>0</v>
      </c>
    </row>
    <row r="179" spans="1:20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>
        <v>0</v>
      </c>
      <c r="I179">
        <v>0</v>
      </c>
      <c r="J179">
        <v>1</v>
      </c>
      <c r="K179" s="2">
        <v>21</v>
      </c>
      <c r="L179" s="2">
        <v>90.9</v>
      </c>
      <c r="M179" s="2">
        <v>7.86</v>
      </c>
      <c r="N179" s="2">
        <v>0</v>
      </c>
      <c r="O179" s="2">
        <v>4</v>
      </c>
      <c r="P179" s="2">
        <v>783582</v>
      </c>
      <c r="Q179" s="2">
        <v>130670.93</v>
      </c>
      <c r="R179">
        <f t="shared" si="6"/>
        <v>0</v>
      </c>
      <c r="S179">
        <f t="shared" si="7"/>
        <v>1</v>
      </c>
      <c r="T179">
        <f t="shared" si="8"/>
        <v>0</v>
      </c>
    </row>
    <row r="180" spans="1:20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>
        <v>0</v>
      </c>
      <c r="I180">
        <v>0</v>
      </c>
      <c r="J180">
        <v>1</v>
      </c>
      <c r="K180" s="2">
        <v>21</v>
      </c>
      <c r="L180" s="2">
        <v>86.6</v>
      </c>
      <c r="M180" s="2">
        <v>0.3</v>
      </c>
      <c r="N180" s="2">
        <v>0</v>
      </c>
      <c r="O180" s="2">
        <v>4.0999999999999996</v>
      </c>
      <c r="P180" s="2">
        <v>781955.52</v>
      </c>
      <c r="Q180" s="2">
        <v>152578.71</v>
      </c>
      <c r="R180">
        <f t="shared" si="6"/>
        <v>0</v>
      </c>
      <c r="S180">
        <f t="shared" si="7"/>
        <v>1</v>
      </c>
      <c r="T180">
        <f t="shared" si="8"/>
        <v>0</v>
      </c>
    </row>
    <row r="181" spans="1:20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>
        <v>0</v>
      </c>
      <c r="I181">
        <v>0</v>
      </c>
      <c r="J181">
        <v>1</v>
      </c>
      <c r="K181" s="2">
        <v>20</v>
      </c>
      <c r="L181" s="2">
        <v>89.6</v>
      </c>
      <c r="M181" s="2">
        <v>8.44</v>
      </c>
      <c r="N181" s="2">
        <v>0</v>
      </c>
      <c r="O181" s="2">
        <v>4.0999999999999996</v>
      </c>
      <c r="P181" s="2">
        <v>898031.04</v>
      </c>
      <c r="Q181" s="2">
        <v>138666.5</v>
      </c>
      <c r="R181">
        <f t="shared" si="6"/>
        <v>0</v>
      </c>
      <c r="S181">
        <f t="shared" si="7"/>
        <v>1</v>
      </c>
      <c r="T181">
        <f t="shared" si="8"/>
        <v>0</v>
      </c>
    </row>
    <row r="182" spans="1:20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>
        <v>0</v>
      </c>
      <c r="I182">
        <v>0</v>
      </c>
      <c r="J182">
        <v>1</v>
      </c>
      <c r="K182" s="2">
        <v>24</v>
      </c>
      <c r="L182" s="2">
        <v>89.4</v>
      </c>
      <c r="M182" s="2">
        <v>5.27</v>
      </c>
      <c r="N182" s="2">
        <v>1</v>
      </c>
      <c r="O182" s="2">
        <v>3.9</v>
      </c>
      <c r="P182" s="2">
        <v>855341.28</v>
      </c>
      <c r="Q182" s="2">
        <v>175823.8</v>
      </c>
      <c r="R182">
        <f t="shared" si="6"/>
        <v>0</v>
      </c>
      <c r="S182">
        <f t="shared" si="7"/>
        <v>0</v>
      </c>
      <c r="T182">
        <f t="shared" si="8"/>
        <v>0</v>
      </c>
    </row>
    <row r="183" spans="1:20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>
        <v>0</v>
      </c>
      <c r="I183">
        <v>0</v>
      </c>
      <c r="J183">
        <v>1</v>
      </c>
      <c r="K183" s="2">
        <v>22</v>
      </c>
      <c r="L183" s="2">
        <v>86.4</v>
      </c>
      <c r="M183" s="2">
        <v>13.22</v>
      </c>
      <c r="N183" s="2">
        <v>0</v>
      </c>
      <c r="O183" s="2">
        <v>3.6</v>
      </c>
      <c r="P183" s="2">
        <v>751393.88</v>
      </c>
      <c r="Q183" s="2">
        <v>91480.320000000007</v>
      </c>
      <c r="R183">
        <f t="shared" si="6"/>
        <v>0</v>
      </c>
      <c r="S183">
        <f t="shared" si="7"/>
        <v>0</v>
      </c>
      <c r="T183">
        <f t="shared" si="8"/>
        <v>0</v>
      </c>
    </row>
    <row r="184" spans="1:20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>
        <v>0</v>
      </c>
      <c r="I184">
        <v>0</v>
      </c>
      <c r="J184">
        <v>1</v>
      </c>
      <c r="K184" s="2">
        <v>24</v>
      </c>
      <c r="L184" s="2">
        <v>76.8</v>
      </c>
      <c r="M184" s="2">
        <v>1.02</v>
      </c>
      <c r="N184" s="2">
        <v>1</v>
      </c>
      <c r="O184" s="2">
        <v>3.8</v>
      </c>
      <c r="P184" s="2">
        <v>761077.08</v>
      </c>
      <c r="Q184" s="2">
        <v>113605.93</v>
      </c>
      <c r="R184">
        <f t="shared" si="6"/>
        <v>0</v>
      </c>
      <c r="S184">
        <f t="shared" si="7"/>
        <v>0</v>
      </c>
      <c r="T184">
        <f t="shared" si="8"/>
        <v>0</v>
      </c>
    </row>
    <row r="185" spans="1:20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>
        <v>0</v>
      </c>
      <c r="I185">
        <v>0</v>
      </c>
      <c r="J185">
        <v>1</v>
      </c>
      <c r="K185" s="2">
        <v>25</v>
      </c>
      <c r="L185" s="2">
        <v>90.1</v>
      </c>
      <c r="M185" s="2">
        <v>4.03</v>
      </c>
      <c r="N185" s="2">
        <v>0</v>
      </c>
      <c r="O185" s="2">
        <v>3.1</v>
      </c>
      <c r="P185" s="2">
        <v>819660.59</v>
      </c>
      <c r="Q185" s="2">
        <v>172699.95</v>
      </c>
      <c r="R185">
        <f t="shared" si="6"/>
        <v>0</v>
      </c>
      <c r="S185">
        <f t="shared" si="7"/>
        <v>0</v>
      </c>
      <c r="T185">
        <f t="shared" si="8"/>
        <v>0</v>
      </c>
    </row>
    <row r="186" spans="1:20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>
        <v>1</v>
      </c>
      <c r="I186">
        <v>0</v>
      </c>
      <c r="J186">
        <v>0</v>
      </c>
      <c r="K186" s="2">
        <v>13</v>
      </c>
      <c r="L186" s="2">
        <v>93.7</v>
      </c>
      <c r="M186" s="2">
        <v>2.34</v>
      </c>
      <c r="N186" s="2">
        <v>0</v>
      </c>
      <c r="O186" s="2">
        <v>4.4000000000000004</v>
      </c>
      <c r="P186" s="2">
        <v>681855.56</v>
      </c>
      <c r="Q186" s="2">
        <v>117645.61</v>
      </c>
      <c r="R186">
        <f t="shared" si="6"/>
        <v>1</v>
      </c>
      <c r="S186">
        <f t="shared" si="7"/>
        <v>0</v>
      </c>
      <c r="T186">
        <f t="shared" si="8"/>
        <v>0</v>
      </c>
    </row>
    <row r="187" spans="1:20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>
        <v>1</v>
      </c>
      <c r="I187">
        <v>0</v>
      </c>
      <c r="J187">
        <v>0</v>
      </c>
      <c r="K187" s="2">
        <v>15</v>
      </c>
      <c r="L187" s="2">
        <v>95.5</v>
      </c>
      <c r="M187" s="2">
        <v>8.51</v>
      </c>
      <c r="N187" s="2">
        <v>0</v>
      </c>
      <c r="O187" s="2">
        <v>4.4000000000000004</v>
      </c>
      <c r="P187" s="2">
        <v>678311.17</v>
      </c>
      <c r="Q187" s="2">
        <v>132029.76000000001</v>
      </c>
      <c r="R187">
        <f t="shared" si="6"/>
        <v>1</v>
      </c>
      <c r="S187">
        <f t="shared" si="7"/>
        <v>0</v>
      </c>
      <c r="T187">
        <f t="shared" si="8"/>
        <v>0</v>
      </c>
    </row>
    <row r="188" spans="1:20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>
        <v>1</v>
      </c>
      <c r="I188">
        <v>0</v>
      </c>
      <c r="J188">
        <v>0</v>
      </c>
      <c r="K188" s="2">
        <v>14</v>
      </c>
      <c r="L188" s="2">
        <v>99</v>
      </c>
      <c r="M188" s="2">
        <v>0.48</v>
      </c>
      <c r="N188" s="2">
        <v>1</v>
      </c>
      <c r="O188" s="2">
        <v>4.3</v>
      </c>
      <c r="P188" s="2">
        <v>765906.95</v>
      </c>
      <c r="Q188" s="2">
        <v>114005.9</v>
      </c>
      <c r="R188">
        <f t="shared" si="6"/>
        <v>1</v>
      </c>
      <c r="S188">
        <f t="shared" si="7"/>
        <v>0</v>
      </c>
      <c r="T188">
        <f t="shared" si="8"/>
        <v>0</v>
      </c>
    </row>
    <row r="189" spans="1:20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>
        <v>1</v>
      </c>
      <c r="I189">
        <v>0</v>
      </c>
      <c r="J189">
        <v>0</v>
      </c>
      <c r="K189" s="2">
        <v>20</v>
      </c>
      <c r="L189" s="2">
        <v>74.900000000000006</v>
      </c>
      <c r="M189" s="2">
        <v>13.62</v>
      </c>
      <c r="N189" s="2">
        <v>0</v>
      </c>
      <c r="O189" s="2">
        <v>4.2</v>
      </c>
      <c r="P189" s="2">
        <v>712546.38</v>
      </c>
      <c r="Q189" s="2">
        <v>101480.04</v>
      </c>
      <c r="R189">
        <f t="shared" si="6"/>
        <v>1</v>
      </c>
      <c r="S189">
        <f t="shared" si="7"/>
        <v>0</v>
      </c>
      <c r="T189">
        <f t="shared" si="8"/>
        <v>0</v>
      </c>
    </row>
    <row r="190" spans="1:20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>
        <v>0</v>
      </c>
      <c r="I190">
        <v>0</v>
      </c>
      <c r="J190">
        <v>0</v>
      </c>
      <c r="K190" s="2">
        <v>11</v>
      </c>
      <c r="L190" s="2">
        <v>86.4</v>
      </c>
      <c r="M190" s="2">
        <v>7.77</v>
      </c>
      <c r="N190" s="2">
        <v>0</v>
      </c>
      <c r="O190" s="2">
        <v>4.0999999999999996</v>
      </c>
      <c r="P190" s="2">
        <v>625993.82999999996</v>
      </c>
      <c r="Q190" s="2">
        <v>98960.320000000007</v>
      </c>
      <c r="R190">
        <f t="shared" si="6"/>
        <v>1</v>
      </c>
      <c r="S190">
        <f t="shared" si="7"/>
        <v>0</v>
      </c>
      <c r="T190">
        <f t="shared" si="8"/>
        <v>0</v>
      </c>
    </row>
    <row r="191" spans="1:20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>
        <v>0</v>
      </c>
      <c r="I191">
        <v>0</v>
      </c>
      <c r="J191">
        <v>0</v>
      </c>
      <c r="K191" s="2">
        <v>10</v>
      </c>
      <c r="L191" s="2">
        <v>91.3</v>
      </c>
      <c r="M191" s="2">
        <v>1.99</v>
      </c>
      <c r="N191" s="2">
        <v>0</v>
      </c>
      <c r="O191" s="2">
        <v>3.8</v>
      </c>
      <c r="P191" s="2">
        <v>550962.93000000005</v>
      </c>
      <c r="Q191" s="2">
        <v>97144.58</v>
      </c>
      <c r="R191">
        <f t="shared" si="6"/>
        <v>1</v>
      </c>
      <c r="S191">
        <f t="shared" si="7"/>
        <v>0</v>
      </c>
      <c r="T191">
        <f t="shared" si="8"/>
        <v>0</v>
      </c>
    </row>
    <row r="192" spans="1:20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>
        <v>0</v>
      </c>
      <c r="I192">
        <v>0</v>
      </c>
      <c r="J192">
        <v>0</v>
      </c>
      <c r="K192" s="2">
        <v>9</v>
      </c>
      <c r="L192" s="2">
        <v>84.1</v>
      </c>
      <c r="M192" s="2">
        <v>4.7699999999999996</v>
      </c>
      <c r="N192" s="2">
        <v>0</v>
      </c>
      <c r="O192" s="2">
        <v>3.8</v>
      </c>
      <c r="P192" s="2">
        <v>443275.59</v>
      </c>
      <c r="Q192" s="2">
        <v>53544.36</v>
      </c>
      <c r="R192">
        <f t="shared" si="6"/>
        <v>1</v>
      </c>
      <c r="S192">
        <f t="shared" si="7"/>
        <v>0</v>
      </c>
      <c r="T192">
        <f t="shared" si="8"/>
        <v>0</v>
      </c>
    </row>
    <row r="193" spans="1:20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>
        <v>0</v>
      </c>
      <c r="I193">
        <v>0</v>
      </c>
      <c r="J193">
        <v>0</v>
      </c>
      <c r="K193" s="2">
        <v>13</v>
      </c>
      <c r="L193" s="2">
        <v>88.7</v>
      </c>
      <c r="M193" s="2">
        <v>0.2</v>
      </c>
      <c r="N193" s="2">
        <v>0</v>
      </c>
      <c r="O193" s="2">
        <v>4.4000000000000004</v>
      </c>
      <c r="P193" s="2">
        <v>554012.06999999995</v>
      </c>
      <c r="Q193" s="2">
        <v>81101.62</v>
      </c>
      <c r="R193">
        <f t="shared" si="6"/>
        <v>1</v>
      </c>
      <c r="S193">
        <f t="shared" si="7"/>
        <v>0</v>
      </c>
      <c r="T193">
        <f t="shared" si="8"/>
        <v>0</v>
      </c>
    </row>
    <row r="194" spans="1:20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>
        <v>0</v>
      </c>
      <c r="I194">
        <v>0</v>
      </c>
      <c r="J194">
        <v>1</v>
      </c>
      <c r="K194" s="2">
        <v>14</v>
      </c>
      <c r="L194" s="2">
        <v>87.9</v>
      </c>
      <c r="M194" s="2">
        <v>0.53</v>
      </c>
      <c r="N194" s="2">
        <v>0</v>
      </c>
      <c r="O194" s="2">
        <v>3.2</v>
      </c>
      <c r="P194" s="2">
        <v>643428.85</v>
      </c>
      <c r="Q194" s="2">
        <v>94477.63</v>
      </c>
      <c r="R194">
        <f t="shared" si="6"/>
        <v>0</v>
      </c>
      <c r="S194">
        <f t="shared" si="7"/>
        <v>0</v>
      </c>
      <c r="T194">
        <f t="shared" si="8"/>
        <v>0</v>
      </c>
    </row>
    <row r="195" spans="1:20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>
        <v>0</v>
      </c>
      <c r="I195">
        <v>0</v>
      </c>
      <c r="J195">
        <v>1</v>
      </c>
      <c r="K195" s="2">
        <v>12</v>
      </c>
      <c r="L195" s="2">
        <v>88.5</v>
      </c>
      <c r="M195" s="2">
        <v>1.54</v>
      </c>
      <c r="N195" s="2">
        <v>0</v>
      </c>
      <c r="O195" s="2">
        <v>3.2</v>
      </c>
      <c r="P195" s="2">
        <v>611924.27</v>
      </c>
      <c r="Q195" s="2">
        <v>115488.75</v>
      </c>
      <c r="R195">
        <f t="shared" ref="R195:R258" si="9">IF($D195="High Street", 1, 0)</f>
        <v>0</v>
      </c>
      <c r="S195">
        <f t="shared" ref="S195:S258" si="10">IF($D195="Airport", 1, 0)</f>
        <v>0</v>
      </c>
      <c r="T195">
        <f t="shared" ref="T195:T258" si="11">IF($D195="Mall", 1, 0)</f>
        <v>0</v>
      </c>
    </row>
    <row r="196" spans="1:20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>
        <v>0</v>
      </c>
      <c r="I196">
        <v>0</v>
      </c>
      <c r="J196">
        <v>1</v>
      </c>
      <c r="K196" s="2">
        <v>14</v>
      </c>
      <c r="L196" s="2">
        <v>86.6</v>
      </c>
      <c r="M196" s="2">
        <v>3.63</v>
      </c>
      <c r="N196" s="2">
        <v>0</v>
      </c>
      <c r="O196" s="2">
        <v>3.7</v>
      </c>
      <c r="P196" s="2">
        <v>559422.02</v>
      </c>
      <c r="Q196" s="2">
        <v>73528.740000000005</v>
      </c>
      <c r="R196">
        <f t="shared" si="9"/>
        <v>0</v>
      </c>
      <c r="S196">
        <f t="shared" si="10"/>
        <v>0</v>
      </c>
      <c r="T196">
        <f t="shared" si="11"/>
        <v>0</v>
      </c>
    </row>
    <row r="197" spans="1:20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>
        <v>0</v>
      </c>
      <c r="I197">
        <v>0</v>
      </c>
      <c r="J197">
        <v>1</v>
      </c>
      <c r="K197" s="2">
        <v>7</v>
      </c>
      <c r="L197" s="2">
        <v>85.4</v>
      </c>
      <c r="M197" s="2">
        <v>13.48</v>
      </c>
      <c r="N197" s="2">
        <v>0</v>
      </c>
      <c r="O197" s="2"/>
      <c r="P197" s="2">
        <v>449465.06</v>
      </c>
      <c r="Q197" s="2">
        <v>65694.78</v>
      </c>
      <c r="R197">
        <f t="shared" si="9"/>
        <v>0</v>
      </c>
      <c r="S197">
        <f t="shared" si="10"/>
        <v>0</v>
      </c>
      <c r="T197">
        <f t="shared" si="11"/>
        <v>0</v>
      </c>
    </row>
    <row r="198" spans="1:20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>
        <v>1</v>
      </c>
      <c r="I198">
        <v>0</v>
      </c>
      <c r="J198">
        <v>0</v>
      </c>
      <c r="K198" s="2">
        <v>11</v>
      </c>
      <c r="L198" s="2">
        <v>89.6</v>
      </c>
      <c r="M198" s="2">
        <v>0.2</v>
      </c>
      <c r="N198" s="2">
        <v>0</v>
      </c>
      <c r="O198" s="2">
        <v>4.2</v>
      </c>
      <c r="P198" s="2">
        <v>691447.43</v>
      </c>
      <c r="Q198" s="2">
        <v>114077.69</v>
      </c>
      <c r="R198">
        <f t="shared" si="9"/>
        <v>0</v>
      </c>
      <c r="S198">
        <f t="shared" si="10"/>
        <v>0</v>
      </c>
      <c r="T198">
        <f t="shared" si="11"/>
        <v>0</v>
      </c>
    </row>
    <row r="199" spans="1:20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>
        <v>1</v>
      </c>
      <c r="I199">
        <v>0</v>
      </c>
      <c r="J199">
        <v>0</v>
      </c>
      <c r="K199" s="2">
        <v>15</v>
      </c>
      <c r="L199" s="2">
        <v>90.6</v>
      </c>
      <c r="M199" s="2">
        <v>12.82</v>
      </c>
      <c r="N199" s="2">
        <v>0</v>
      </c>
      <c r="O199" s="2">
        <v>4.5999999999999996</v>
      </c>
      <c r="P199" s="2">
        <v>574066.61</v>
      </c>
      <c r="Q199" s="2">
        <v>124674.67</v>
      </c>
      <c r="R199">
        <f t="shared" si="9"/>
        <v>0</v>
      </c>
      <c r="S199">
        <f t="shared" si="10"/>
        <v>0</v>
      </c>
      <c r="T199">
        <f t="shared" si="11"/>
        <v>0</v>
      </c>
    </row>
    <row r="200" spans="1:20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>
        <v>1</v>
      </c>
      <c r="I200">
        <v>0</v>
      </c>
      <c r="J200">
        <v>0</v>
      </c>
      <c r="K200" s="2">
        <v>13</v>
      </c>
      <c r="L200" s="2">
        <v>86</v>
      </c>
      <c r="M200" s="2">
        <v>2.2400000000000002</v>
      </c>
      <c r="N200" s="2">
        <v>1</v>
      </c>
      <c r="O200" s="2">
        <v>4.3</v>
      </c>
      <c r="P200" s="2">
        <v>578949.84</v>
      </c>
      <c r="Q200" s="2">
        <v>80253.649999999994</v>
      </c>
      <c r="R200">
        <f t="shared" si="9"/>
        <v>0</v>
      </c>
      <c r="S200">
        <f t="shared" si="10"/>
        <v>0</v>
      </c>
      <c r="T200">
        <f t="shared" si="11"/>
        <v>0</v>
      </c>
    </row>
    <row r="201" spans="1:20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>
        <v>1</v>
      </c>
      <c r="I201">
        <v>0</v>
      </c>
      <c r="J201">
        <v>0</v>
      </c>
      <c r="K201" s="2">
        <v>18</v>
      </c>
      <c r="L201" s="2">
        <v>90</v>
      </c>
      <c r="M201" s="2">
        <v>1.8</v>
      </c>
      <c r="N201" s="2">
        <v>0</v>
      </c>
      <c r="O201" s="2">
        <v>4.8</v>
      </c>
      <c r="P201" s="2">
        <v>735786.64</v>
      </c>
      <c r="Q201" s="2">
        <v>126540.66</v>
      </c>
      <c r="R201">
        <f t="shared" si="9"/>
        <v>0</v>
      </c>
      <c r="S201">
        <f t="shared" si="10"/>
        <v>0</v>
      </c>
      <c r="T201">
        <f t="shared" si="11"/>
        <v>0</v>
      </c>
    </row>
    <row r="202" spans="1:20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>
        <v>0</v>
      </c>
      <c r="I202">
        <v>0</v>
      </c>
      <c r="J202">
        <v>0</v>
      </c>
      <c r="K202" s="2">
        <v>13</v>
      </c>
      <c r="L202" s="2">
        <v>84.2</v>
      </c>
      <c r="M202" s="2">
        <v>0.41</v>
      </c>
      <c r="N202" s="2">
        <v>1</v>
      </c>
      <c r="O202" s="2">
        <v>4.5999999999999996</v>
      </c>
      <c r="P202" s="2">
        <v>598904.9</v>
      </c>
      <c r="Q202" s="2">
        <v>72861</v>
      </c>
      <c r="R202">
        <f t="shared" si="9"/>
        <v>0</v>
      </c>
      <c r="S202">
        <f t="shared" si="10"/>
        <v>1</v>
      </c>
      <c r="T202">
        <f t="shared" si="11"/>
        <v>0</v>
      </c>
    </row>
    <row r="203" spans="1:20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>
        <v>0</v>
      </c>
      <c r="I203">
        <v>0</v>
      </c>
      <c r="J203">
        <v>0</v>
      </c>
      <c r="K203" s="2">
        <v>13</v>
      </c>
      <c r="L203" s="2">
        <v>83.9</v>
      </c>
      <c r="M203" s="2">
        <v>3.05</v>
      </c>
      <c r="N203" s="2">
        <v>0</v>
      </c>
      <c r="O203" s="2">
        <v>4.8</v>
      </c>
      <c r="P203" s="2">
        <v>787715.51</v>
      </c>
      <c r="Q203" s="2">
        <v>128969.62</v>
      </c>
      <c r="R203">
        <f t="shared" si="9"/>
        <v>0</v>
      </c>
      <c r="S203">
        <f t="shared" si="10"/>
        <v>1</v>
      </c>
      <c r="T203">
        <f t="shared" si="11"/>
        <v>0</v>
      </c>
    </row>
    <row r="204" spans="1:20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>
        <v>0</v>
      </c>
      <c r="I204">
        <v>0</v>
      </c>
      <c r="J204">
        <v>0</v>
      </c>
      <c r="K204" s="2">
        <v>14</v>
      </c>
      <c r="L204" s="2">
        <v>80.8</v>
      </c>
      <c r="M204" s="2">
        <v>8.44</v>
      </c>
      <c r="N204" s="2">
        <v>1</v>
      </c>
      <c r="O204" s="2">
        <v>5</v>
      </c>
      <c r="P204" s="2">
        <v>607084.92000000004</v>
      </c>
      <c r="Q204" s="2">
        <v>98558.49</v>
      </c>
      <c r="R204">
        <f t="shared" si="9"/>
        <v>0</v>
      </c>
      <c r="S204">
        <f t="shared" si="10"/>
        <v>1</v>
      </c>
      <c r="T204">
        <f t="shared" si="11"/>
        <v>0</v>
      </c>
    </row>
    <row r="205" spans="1:20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>
        <v>0</v>
      </c>
      <c r="I205">
        <v>0</v>
      </c>
      <c r="J205">
        <v>0</v>
      </c>
      <c r="K205" s="2">
        <v>15</v>
      </c>
      <c r="L205" s="2">
        <v>88.7</v>
      </c>
      <c r="M205" s="2">
        <v>0.78</v>
      </c>
      <c r="N205" s="2">
        <v>0</v>
      </c>
      <c r="O205" s="2">
        <v>4</v>
      </c>
      <c r="P205" s="2">
        <v>650795.49</v>
      </c>
      <c r="Q205" s="2">
        <v>103035.89</v>
      </c>
      <c r="R205">
        <f t="shared" si="9"/>
        <v>0</v>
      </c>
      <c r="S205">
        <f t="shared" si="10"/>
        <v>1</v>
      </c>
      <c r="T205">
        <f t="shared" si="11"/>
        <v>0</v>
      </c>
    </row>
    <row r="206" spans="1:20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>
        <v>0</v>
      </c>
      <c r="I206">
        <v>0</v>
      </c>
      <c r="J206">
        <v>0</v>
      </c>
      <c r="K206" s="2">
        <v>24</v>
      </c>
      <c r="L206" s="2">
        <v>94.3</v>
      </c>
      <c r="M206" s="2">
        <v>0.87</v>
      </c>
      <c r="N206" s="2">
        <v>0</v>
      </c>
      <c r="O206" s="2">
        <v>3.7</v>
      </c>
      <c r="P206" s="2">
        <v>825060.52</v>
      </c>
      <c r="Q206" s="2">
        <v>143613.15</v>
      </c>
      <c r="R206">
        <f t="shared" si="9"/>
        <v>0</v>
      </c>
      <c r="S206">
        <f t="shared" si="10"/>
        <v>0</v>
      </c>
      <c r="T206">
        <f t="shared" si="11"/>
        <v>1</v>
      </c>
    </row>
    <row r="207" spans="1:20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>
        <v>0</v>
      </c>
      <c r="I207">
        <v>0</v>
      </c>
      <c r="J207">
        <v>0</v>
      </c>
      <c r="K207" s="2">
        <v>19</v>
      </c>
      <c r="L207" s="2">
        <v>94.1</v>
      </c>
      <c r="M207" s="2">
        <v>0.95</v>
      </c>
      <c r="N207" s="2">
        <v>0</v>
      </c>
      <c r="O207" s="2">
        <v>3.7</v>
      </c>
      <c r="P207" s="2">
        <v>795464.47</v>
      </c>
      <c r="Q207" s="2">
        <v>161150.51999999999</v>
      </c>
      <c r="R207">
        <f t="shared" si="9"/>
        <v>0</v>
      </c>
      <c r="S207">
        <f t="shared" si="10"/>
        <v>0</v>
      </c>
      <c r="T207">
        <f t="shared" si="11"/>
        <v>1</v>
      </c>
    </row>
    <row r="208" spans="1:20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>
        <v>0</v>
      </c>
      <c r="I208">
        <v>0</v>
      </c>
      <c r="J208">
        <v>0</v>
      </c>
      <c r="K208" s="2">
        <v>19</v>
      </c>
      <c r="L208" s="2">
        <v>83.2</v>
      </c>
      <c r="M208" s="2">
        <v>3.82</v>
      </c>
      <c r="N208" s="2">
        <v>0</v>
      </c>
      <c r="O208" s="2">
        <v>3.7</v>
      </c>
      <c r="P208" s="2">
        <v>671868.59</v>
      </c>
      <c r="Q208" s="2">
        <v>71003.28</v>
      </c>
      <c r="R208">
        <f t="shared" si="9"/>
        <v>0</v>
      </c>
      <c r="S208">
        <f t="shared" si="10"/>
        <v>0</v>
      </c>
      <c r="T208">
        <f t="shared" si="11"/>
        <v>1</v>
      </c>
    </row>
    <row r="209" spans="1:20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>
        <v>0</v>
      </c>
      <c r="I209">
        <v>0</v>
      </c>
      <c r="J209">
        <v>0</v>
      </c>
      <c r="K209" s="2">
        <v>18</v>
      </c>
      <c r="L209" s="2">
        <v>93.6</v>
      </c>
      <c r="M209" s="2">
        <v>2.7</v>
      </c>
      <c r="N209" s="2">
        <v>0</v>
      </c>
      <c r="O209" s="2">
        <v>3.7</v>
      </c>
      <c r="P209" s="2">
        <v>675917.63</v>
      </c>
      <c r="Q209" s="2">
        <v>112564.75</v>
      </c>
      <c r="R209">
        <f t="shared" si="9"/>
        <v>0</v>
      </c>
      <c r="S209">
        <f t="shared" si="10"/>
        <v>0</v>
      </c>
      <c r="T209">
        <f t="shared" si="11"/>
        <v>1</v>
      </c>
    </row>
    <row r="210" spans="1:20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>
        <v>0</v>
      </c>
      <c r="I210">
        <v>0</v>
      </c>
      <c r="J210">
        <v>0</v>
      </c>
      <c r="K210" s="2">
        <v>24</v>
      </c>
      <c r="L210" s="2">
        <v>87</v>
      </c>
      <c r="M210" s="2">
        <v>3.84</v>
      </c>
      <c r="N210" s="2">
        <v>1</v>
      </c>
      <c r="O210" s="2">
        <v>3.7</v>
      </c>
      <c r="P210" s="2">
        <v>810446.53</v>
      </c>
      <c r="Q210" s="2">
        <v>200575.34</v>
      </c>
      <c r="R210">
        <f t="shared" si="9"/>
        <v>1</v>
      </c>
      <c r="S210">
        <f t="shared" si="10"/>
        <v>0</v>
      </c>
      <c r="T210">
        <f t="shared" si="11"/>
        <v>0</v>
      </c>
    </row>
    <row r="211" spans="1:20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>
        <v>0</v>
      </c>
      <c r="I211">
        <v>0</v>
      </c>
      <c r="J211">
        <v>0</v>
      </c>
      <c r="K211" s="2">
        <v>19</v>
      </c>
      <c r="L211" s="2">
        <v>84.9</v>
      </c>
      <c r="M211" s="2">
        <v>5.09</v>
      </c>
      <c r="N211" s="2">
        <v>0</v>
      </c>
      <c r="O211" s="2">
        <v>3.3</v>
      </c>
      <c r="P211" s="2">
        <v>691288.19</v>
      </c>
      <c r="Q211" s="2">
        <v>159074.14000000001</v>
      </c>
      <c r="R211">
        <f t="shared" si="9"/>
        <v>1</v>
      </c>
      <c r="S211">
        <f t="shared" si="10"/>
        <v>0</v>
      </c>
      <c r="T211">
        <f t="shared" si="11"/>
        <v>0</v>
      </c>
    </row>
    <row r="212" spans="1:20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>
        <v>0</v>
      </c>
      <c r="I212">
        <v>0</v>
      </c>
      <c r="J212">
        <v>0</v>
      </c>
      <c r="K212" s="2">
        <v>31</v>
      </c>
      <c r="L212" s="2">
        <v>91.7</v>
      </c>
      <c r="M212" s="2">
        <v>3.82</v>
      </c>
      <c r="N212" s="2">
        <v>1</v>
      </c>
      <c r="O212" s="2">
        <v>3.7</v>
      </c>
      <c r="P212" s="2">
        <v>946833.54</v>
      </c>
      <c r="Q212" s="2">
        <v>184540.31</v>
      </c>
      <c r="R212">
        <f t="shared" si="9"/>
        <v>1</v>
      </c>
      <c r="S212">
        <f t="shared" si="10"/>
        <v>0</v>
      </c>
      <c r="T212">
        <f t="shared" si="11"/>
        <v>0</v>
      </c>
    </row>
    <row r="213" spans="1:20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>
        <v>0</v>
      </c>
      <c r="I213">
        <v>0</v>
      </c>
      <c r="J213">
        <v>0</v>
      </c>
      <c r="K213" s="2">
        <v>21</v>
      </c>
      <c r="L213" s="2">
        <v>87</v>
      </c>
      <c r="M213" s="2">
        <v>12.28</v>
      </c>
      <c r="N213" s="2">
        <v>0</v>
      </c>
      <c r="O213" s="2">
        <v>4.0999999999999996</v>
      </c>
      <c r="P213" s="2">
        <v>761963.23</v>
      </c>
      <c r="Q213" s="2">
        <v>150113.60999999999</v>
      </c>
      <c r="R213">
        <f t="shared" si="9"/>
        <v>1</v>
      </c>
      <c r="S213">
        <f t="shared" si="10"/>
        <v>0</v>
      </c>
      <c r="T213">
        <f t="shared" si="11"/>
        <v>0</v>
      </c>
    </row>
    <row r="214" spans="1:20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>
        <v>0</v>
      </c>
      <c r="I214">
        <v>0</v>
      </c>
      <c r="J214">
        <v>1</v>
      </c>
      <c r="K214" s="2">
        <v>25</v>
      </c>
      <c r="L214" s="2">
        <v>89.7</v>
      </c>
      <c r="M214" s="2">
        <v>2.8</v>
      </c>
      <c r="N214" s="2">
        <v>0</v>
      </c>
      <c r="O214" s="2">
        <v>4.3</v>
      </c>
      <c r="P214" s="2">
        <v>812152.6</v>
      </c>
      <c r="Q214" s="2">
        <v>138419.43</v>
      </c>
      <c r="R214">
        <f t="shared" si="9"/>
        <v>0</v>
      </c>
      <c r="S214">
        <f t="shared" si="10"/>
        <v>0</v>
      </c>
      <c r="T214">
        <f t="shared" si="11"/>
        <v>0</v>
      </c>
    </row>
    <row r="215" spans="1:20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>
        <v>0</v>
      </c>
      <c r="I215">
        <v>0</v>
      </c>
      <c r="J215">
        <v>1</v>
      </c>
      <c r="K215" s="2">
        <v>22</v>
      </c>
      <c r="L215" s="2">
        <v>91</v>
      </c>
      <c r="M215" s="2">
        <v>3.67</v>
      </c>
      <c r="N215" s="2">
        <v>0</v>
      </c>
      <c r="O215" s="2">
        <v>4.2</v>
      </c>
      <c r="P215" s="2">
        <v>804975.5</v>
      </c>
      <c r="Q215" s="2">
        <v>140054.5</v>
      </c>
      <c r="R215">
        <f t="shared" si="9"/>
        <v>0</v>
      </c>
      <c r="S215">
        <f t="shared" si="10"/>
        <v>0</v>
      </c>
      <c r="T215">
        <f t="shared" si="11"/>
        <v>0</v>
      </c>
    </row>
    <row r="216" spans="1:20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>
        <v>0</v>
      </c>
      <c r="I216">
        <v>0</v>
      </c>
      <c r="J216">
        <v>1</v>
      </c>
      <c r="K216" s="2">
        <v>22</v>
      </c>
      <c r="L216" s="2">
        <v>88</v>
      </c>
      <c r="M216" s="2">
        <v>2.81</v>
      </c>
      <c r="N216" s="2">
        <v>0</v>
      </c>
      <c r="O216" s="2">
        <v>4.7</v>
      </c>
      <c r="P216" s="2">
        <v>752321.72</v>
      </c>
      <c r="Q216" s="2">
        <v>137788.51</v>
      </c>
      <c r="R216">
        <f t="shared" si="9"/>
        <v>0</v>
      </c>
      <c r="S216">
        <f t="shared" si="10"/>
        <v>0</v>
      </c>
      <c r="T216">
        <f t="shared" si="11"/>
        <v>0</v>
      </c>
    </row>
    <row r="217" spans="1:20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>
        <v>0</v>
      </c>
      <c r="I217">
        <v>0</v>
      </c>
      <c r="J217">
        <v>1</v>
      </c>
      <c r="K217" s="2">
        <v>25</v>
      </c>
      <c r="L217" s="2">
        <v>88.4</v>
      </c>
      <c r="M217" s="2">
        <v>2.44</v>
      </c>
      <c r="N217" s="2">
        <v>0</v>
      </c>
      <c r="O217" s="2">
        <v>4.9000000000000004</v>
      </c>
      <c r="P217" s="2">
        <v>836908.24</v>
      </c>
      <c r="Q217" s="2">
        <v>141090.26</v>
      </c>
      <c r="R217">
        <f t="shared" si="9"/>
        <v>0</v>
      </c>
      <c r="S217">
        <f t="shared" si="10"/>
        <v>0</v>
      </c>
      <c r="T217">
        <f t="shared" si="11"/>
        <v>0</v>
      </c>
    </row>
    <row r="218" spans="1:20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>
        <v>1</v>
      </c>
      <c r="I218">
        <v>0</v>
      </c>
      <c r="J218">
        <v>0</v>
      </c>
      <c r="K218" s="2">
        <v>12</v>
      </c>
      <c r="L218" s="2">
        <v>82.9</v>
      </c>
      <c r="M218" s="2">
        <v>3.27</v>
      </c>
      <c r="N218" s="2">
        <v>0</v>
      </c>
      <c r="O218" s="2">
        <v>3.3</v>
      </c>
      <c r="P218" s="2">
        <v>674289.1</v>
      </c>
      <c r="Q218" s="2">
        <v>117773.79</v>
      </c>
      <c r="R218">
        <f t="shared" si="9"/>
        <v>0</v>
      </c>
      <c r="S218">
        <f t="shared" si="10"/>
        <v>1</v>
      </c>
      <c r="T218">
        <f t="shared" si="11"/>
        <v>0</v>
      </c>
    </row>
    <row r="219" spans="1:20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>
        <v>1</v>
      </c>
      <c r="I219">
        <v>0</v>
      </c>
      <c r="J219">
        <v>0</v>
      </c>
      <c r="K219" s="2">
        <v>17</v>
      </c>
      <c r="L219" s="2">
        <v>94.3</v>
      </c>
      <c r="M219" s="2">
        <v>10.34</v>
      </c>
      <c r="N219" s="2">
        <v>0</v>
      </c>
      <c r="O219" s="2">
        <v>3.9</v>
      </c>
      <c r="P219" s="2">
        <v>622892.42000000004</v>
      </c>
      <c r="Q219" s="2">
        <v>101032.52</v>
      </c>
      <c r="R219">
        <f t="shared" si="9"/>
        <v>0</v>
      </c>
      <c r="S219">
        <f t="shared" si="10"/>
        <v>1</v>
      </c>
      <c r="T219">
        <f t="shared" si="11"/>
        <v>0</v>
      </c>
    </row>
    <row r="220" spans="1:20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>
        <v>1</v>
      </c>
      <c r="I220">
        <v>0</v>
      </c>
      <c r="J220">
        <v>0</v>
      </c>
      <c r="K220" s="2">
        <v>14</v>
      </c>
      <c r="L220" s="2">
        <v>90.7</v>
      </c>
      <c r="M220" s="2">
        <v>1.92</v>
      </c>
      <c r="N220" s="2">
        <v>0</v>
      </c>
      <c r="O220" s="2">
        <v>3.7</v>
      </c>
      <c r="P220" s="2">
        <v>673348.56</v>
      </c>
      <c r="Q220" s="2">
        <v>69464.59</v>
      </c>
      <c r="R220">
        <f t="shared" si="9"/>
        <v>0</v>
      </c>
      <c r="S220">
        <f t="shared" si="10"/>
        <v>1</v>
      </c>
      <c r="T220">
        <f t="shared" si="11"/>
        <v>0</v>
      </c>
    </row>
    <row r="221" spans="1:20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>
        <v>1</v>
      </c>
      <c r="I221">
        <v>0</v>
      </c>
      <c r="J221">
        <v>0</v>
      </c>
      <c r="K221" s="2">
        <v>11</v>
      </c>
      <c r="L221" s="2">
        <v>95.9</v>
      </c>
      <c r="M221" s="2">
        <v>3.1</v>
      </c>
      <c r="N221" s="2">
        <v>0</v>
      </c>
      <c r="O221" s="2">
        <v>3.9</v>
      </c>
      <c r="P221" s="2">
        <v>606278.30000000005</v>
      </c>
      <c r="Q221" s="2">
        <v>102213.26</v>
      </c>
      <c r="R221">
        <f t="shared" si="9"/>
        <v>0</v>
      </c>
      <c r="S221">
        <f t="shared" si="10"/>
        <v>1</v>
      </c>
      <c r="T221">
        <f t="shared" si="11"/>
        <v>0</v>
      </c>
    </row>
    <row r="222" spans="1:20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>
        <v>0</v>
      </c>
      <c r="I222">
        <v>0</v>
      </c>
      <c r="J222">
        <v>0</v>
      </c>
      <c r="K222" s="2">
        <v>18</v>
      </c>
      <c r="L222" s="2">
        <v>90.6</v>
      </c>
      <c r="M222" s="2">
        <v>6.34</v>
      </c>
      <c r="N222" s="2">
        <v>1</v>
      </c>
      <c r="O222" s="2">
        <v>3.8</v>
      </c>
      <c r="P222" s="2">
        <v>712219.81</v>
      </c>
      <c r="Q222" s="2">
        <v>85906.54</v>
      </c>
      <c r="R222">
        <f t="shared" si="9"/>
        <v>1</v>
      </c>
      <c r="S222">
        <f t="shared" si="10"/>
        <v>0</v>
      </c>
      <c r="T222">
        <f t="shared" si="11"/>
        <v>0</v>
      </c>
    </row>
    <row r="223" spans="1:20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>
        <v>0</v>
      </c>
      <c r="I223">
        <v>0</v>
      </c>
      <c r="J223">
        <v>0</v>
      </c>
      <c r="K223" s="2">
        <v>18</v>
      </c>
      <c r="L223" s="2">
        <v>90.2</v>
      </c>
      <c r="M223" s="2">
        <v>1.2</v>
      </c>
      <c r="N223" s="2">
        <v>0</v>
      </c>
      <c r="O223" s="2">
        <v>3.4</v>
      </c>
      <c r="P223" s="2">
        <v>672670.54</v>
      </c>
      <c r="Q223" s="2">
        <v>132684.18</v>
      </c>
      <c r="R223">
        <f t="shared" si="9"/>
        <v>1</v>
      </c>
      <c r="S223">
        <f t="shared" si="10"/>
        <v>0</v>
      </c>
      <c r="T223">
        <f t="shared" si="11"/>
        <v>0</v>
      </c>
    </row>
    <row r="224" spans="1:20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>
        <v>0</v>
      </c>
      <c r="I224">
        <v>0</v>
      </c>
      <c r="J224">
        <v>0</v>
      </c>
      <c r="K224" s="2">
        <v>19</v>
      </c>
      <c r="L224" s="2">
        <v>90.4</v>
      </c>
      <c r="M224" s="2">
        <v>4.5</v>
      </c>
      <c r="N224" s="2">
        <v>0</v>
      </c>
      <c r="O224" s="2">
        <v>3.3</v>
      </c>
      <c r="P224" s="2">
        <v>732667.92</v>
      </c>
      <c r="Q224" s="2">
        <v>128654.46</v>
      </c>
      <c r="R224">
        <f t="shared" si="9"/>
        <v>1</v>
      </c>
      <c r="S224">
        <f t="shared" si="10"/>
        <v>0</v>
      </c>
      <c r="T224">
        <f t="shared" si="11"/>
        <v>0</v>
      </c>
    </row>
    <row r="225" spans="1:20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>
        <v>0</v>
      </c>
      <c r="I225">
        <v>0</v>
      </c>
      <c r="J225">
        <v>0</v>
      </c>
      <c r="K225" s="2">
        <v>21</v>
      </c>
      <c r="L225" s="2">
        <v>84.4</v>
      </c>
      <c r="M225" s="2">
        <v>6.68</v>
      </c>
      <c r="N225" s="2">
        <v>0</v>
      </c>
      <c r="O225" s="2">
        <v>3.6</v>
      </c>
      <c r="P225" s="2">
        <v>723531.4</v>
      </c>
      <c r="Q225" s="2">
        <v>108794.85</v>
      </c>
      <c r="R225">
        <f t="shared" si="9"/>
        <v>1</v>
      </c>
      <c r="S225">
        <f t="shared" si="10"/>
        <v>0</v>
      </c>
      <c r="T225">
        <f t="shared" si="11"/>
        <v>0</v>
      </c>
    </row>
    <row r="226" spans="1:20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>
        <v>0</v>
      </c>
      <c r="I226">
        <v>0</v>
      </c>
      <c r="J226">
        <v>0</v>
      </c>
      <c r="K226" s="2">
        <v>15</v>
      </c>
      <c r="L226" s="2">
        <v>82.6</v>
      </c>
      <c r="M226" s="2">
        <v>4.07</v>
      </c>
      <c r="N226" s="2">
        <v>1</v>
      </c>
      <c r="O226" s="2">
        <v>3</v>
      </c>
      <c r="P226" s="2">
        <v>641564.6</v>
      </c>
      <c r="Q226" s="2">
        <v>90468.96</v>
      </c>
      <c r="R226">
        <f t="shared" si="9"/>
        <v>0</v>
      </c>
      <c r="S226">
        <f t="shared" si="10"/>
        <v>0</v>
      </c>
      <c r="T226">
        <f t="shared" si="11"/>
        <v>1</v>
      </c>
    </row>
    <row r="227" spans="1:20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>
        <v>0</v>
      </c>
      <c r="I227">
        <v>0</v>
      </c>
      <c r="J227">
        <v>0</v>
      </c>
      <c r="K227" s="2">
        <v>10</v>
      </c>
      <c r="L227" s="2">
        <v>79.5</v>
      </c>
      <c r="M227" s="2">
        <v>5.45</v>
      </c>
      <c r="N227" s="2">
        <v>0</v>
      </c>
      <c r="O227" s="2">
        <v>3.4</v>
      </c>
      <c r="P227" s="2">
        <v>536545.49</v>
      </c>
      <c r="Q227" s="2">
        <v>97917.45</v>
      </c>
      <c r="R227">
        <f t="shared" si="9"/>
        <v>0</v>
      </c>
      <c r="S227">
        <f t="shared" si="10"/>
        <v>0</v>
      </c>
      <c r="T227">
        <f t="shared" si="11"/>
        <v>1</v>
      </c>
    </row>
    <row r="228" spans="1:20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>
        <v>0</v>
      </c>
      <c r="I228">
        <v>0</v>
      </c>
      <c r="J228">
        <v>0</v>
      </c>
      <c r="K228" s="2">
        <v>12</v>
      </c>
      <c r="L228" s="2">
        <v>83.2</v>
      </c>
      <c r="M228" s="2">
        <v>15.58</v>
      </c>
      <c r="N228" s="2">
        <v>0</v>
      </c>
      <c r="O228" s="2">
        <v>3.3</v>
      </c>
      <c r="P228" s="2">
        <v>527681.56000000006</v>
      </c>
      <c r="Q228" s="2">
        <v>63153.05</v>
      </c>
      <c r="R228">
        <f t="shared" si="9"/>
        <v>0</v>
      </c>
      <c r="S228">
        <f t="shared" si="10"/>
        <v>0</v>
      </c>
      <c r="T228">
        <f t="shared" si="11"/>
        <v>1</v>
      </c>
    </row>
    <row r="229" spans="1:20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>
        <v>0</v>
      </c>
      <c r="I229">
        <v>0</v>
      </c>
      <c r="J229">
        <v>0</v>
      </c>
      <c r="K229" s="2">
        <v>5</v>
      </c>
      <c r="L229" s="2">
        <v>95</v>
      </c>
      <c r="M229" s="2">
        <v>5.32</v>
      </c>
      <c r="N229" s="2">
        <v>0</v>
      </c>
      <c r="O229" s="2"/>
      <c r="P229" s="2">
        <v>529598.93999999994</v>
      </c>
      <c r="Q229" s="2">
        <v>84334.33</v>
      </c>
      <c r="R229">
        <f t="shared" si="9"/>
        <v>0</v>
      </c>
      <c r="S229">
        <f t="shared" si="10"/>
        <v>0</v>
      </c>
      <c r="T229">
        <f t="shared" si="11"/>
        <v>1</v>
      </c>
    </row>
    <row r="230" spans="1:20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>
        <v>0</v>
      </c>
      <c r="I230">
        <v>0</v>
      </c>
      <c r="J230">
        <v>0</v>
      </c>
      <c r="K230" s="2">
        <v>12</v>
      </c>
      <c r="L230" s="2">
        <v>85.9</v>
      </c>
      <c r="M230" s="2">
        <v>0.37</v>
      </c>
      <c r="N230" s="2">
        <v>0</v>
      </c>
      <c r="O230" s="2">
        <v>3.8</v>
      </c>
      <c r="P230" s="2">
        <v>570963.31000000006</v>
      </c>
      <c r="Q230" s="2">
        <v>87342.25</v>
      </c>
      <c r="R230">
        <f t="shared" si="9"/>
        <v>1</v>
      </c>
      <c r="S230">
        <f t="shared" si="10"/>
        <v>0</v>
      </c>
      <c r="T230">
        <f t="shared" si="11"/>
        <v>0</v>
      </c>
    </row>
    <row r="231" spans="1:20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>
        <v>0</v>
      </c>
      <c r="I231">
        <v>0</v>
      </c>
      <c r="J231">
        <v>0</v>
      </c>
      <c r="K231" s="2">
        <v>24</v>
      </c>
      <c r="L231" s="2">
        <v>86.2</v>
      </c>
      <c r="M231" s="2">
        <v>21.63</v>
      </c>
      <c r="N231" s="2">
        <v>0</v>
      </c>
      <c r="O231" s="2">
        <v>4</v>
      </c>
      <c r="P231" s="2">
        <v>870937.4</v>
      </c>
      <c r="Q231" s="2">
        <v>175282.74</v>
      </c>
      <c r="R231">
        <f t="shared" si="9"/>
        <v>1</v>
      </c>
      <c r="S231">
        <f t="shared" si="10"/>
        <v>0</v>
      </c>
      <c r="T231">
        <f t="shared" si="11"/>
        <v>0</v>
      </c>
    </row>
    <row r="232" spans="1:20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>
        <v>0</v>
      </c>
      <c r="I232">
        <v>0</v>
      </c>
      <c r="J232">
        <v>0</v>
      </c>
      <c r="K232" s="2">
        <v>15</v>
      </c>
      <c r="L232" s="2">
        <v>84.4</v>
      </c>
      <c r="M232" s="2">
        <v>2.48</v>
      </c>
      <c r="N232" s="2">
        <v>0</v>
      </c>
      <c r="O232" s="2">
        <v>3.9</v>
      </c>
      <c r="P232" s="2">
        <v>596969.27</v>
      </c>
      <c r="Q232" s="2">
        <v>105669.51</v>
      </c>
      <c r="R232">
        <f t="shared" si="9"/>
        <v>1</v>
      </c>
      <c r="S232">
        <f t="shared" si="10"/>
        <v>0</v>
      </c>
      <c r="T232">
        <f t="shared" si="11"/>
        <v>0</v>
      </c>
    </row>
    <row r="233" spans="1:20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>
        <v>0</v>
      </c>
      <c r="I233">
        <v>0</v>
      </c>
      <c r="J233">
        <v>0</v>
      </c>
      <c r="K233" s="2">
        <v>11</v>
      </c>
      <c r="L233" s="2">
        <v>95.4</v>
      </c>
      <c r="M233" s="2"/>
      <c r="N233" s="2">
        <v>0</v>
      </c>
      <c r="O233" s="2">
        <v>3.7</v>
      </c>
      <c r="P233" s="2">
        <v>647512.85</v>
      </c>
      <c r="Q233" s="2">
        <v>153835.57</v>
      </c>
      <c r="R233">
        <f t="shared" si="9"/>
        <v>1</v>
      </c>
      <c r="S233">
        <f t="shared" si="10"/>
        <v>0</v>
      </c>
      <c r="T233">
        <f t="shared" si="11"/>
        <v>0</v>
      </c>
    </row>
    <row r="234" spans="1:20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>
        <v>0</v>
      </c>
      <c r="I234">
        <v>0</v>
      </c>
      <c r="J234">
        <v>1</v>
      </c>
      <c r="K234" s="2">
        <v>13</v>
      </c>
      <c r="L234" s="2">
        <v>95.3</v>
      </c>
      <c r="M234" s="2">
        <v>0.85</v>
      </c>
      <c r="N234" s="2">
        <v>0</v>
      </c>
      <c r="O234" s="2">
        <v>4.3</v>
      </c>
      <c r="P234" s="2">
        <v>658072.14</v>
      </c>
      <c r="Q234" s="2">
        <v>110595.89</v>
      </c>
      <c r="R234">
        <f t="shared" si="9"/>
        <v>0</v>
      </c>
      <c r="S234">
        <f t="shared" si="10"/>
        <v>0</v>
      </c>
      <c r="T234">
        <f t="shared" si="11"/>
        <v>0</v>
      </c>
    </row>
    <row r="235" spans="1:20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>
        <v>0</v>
      </c>
      <c r="I235">
        <v>0</v>
      </c>
      <c r="J235">
        <v>1</v>
      </c>
      <c r="K235" s="2">
        <v>17</v>
      </c>
      <c r="L235" s="2">
        <v>89.2</v>
      </c>
      <c r="M235" s="2">
        <v>2.13</v>
      </c>
      <c r="N235" s="2">
        <v>0</v>
      </c>
      <c r="O235" s="2">
        <v>4</v>
      </c>
      <c r="P235" s="2">
        <v>723305.11</v>
      </c>
      <c r="Q235" s="2">
        <v>128468.7</v>
      </c>
      <c r="R235">
        <f t="shared" si="9"/>
        <v>0</v>
      </c>
      <c r="S235">
        <f t="shared" si="10"/>
        <v>0</v>
      </c>
      <c r="T235">
        <f t="shared" si="11"/>
        <v>0</v>
      </c>
    </row>
    <row r="236" spans="1:20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>
        <v>0</v>
      </c>
      <c r="I236">
        <v>0</v>
      </c>
      <c r="J236">
        <v>1</v>
      </c>
      <c r="K236" s="2">
        <v>16</v>
      </c>
      <c r="L236" s="2">
        <v>81.2</v>
      </c>
      <c r="M236" s="2">
        <v>1.46</v>
      </c>
      <c r="N236" s="2">
        <v>0</v>
      </c>
      <c r="O236" s="2">
        <v>4.5</v>
      </c>
      <c r="P236" s="2">
        <v>640666.53</v>
      </c>
      <c r="Q236" s="2">
        <v>134919.16</v>
      </c>
      <c r="R236">
        <f t="shared" si="9"/>
        <v>0</v>
      </c>
      <c r="S236">
        <f t="shared" si="10"/>
        <v>0</v>
      </c>
      <c r="T236">
        <f t="shared" si="11"/>
        <v>0</v>
      </c>
    </row>
    <row r="237" spans="1:20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>
        <v>0</v>
      </c>
      <c r="I237">
        <v>0</v>
      </c>
      <c r="J237">
        <v>1</v>
      </c>
      <c r="K237" s="2">
        <v>17</v>
      </c>
      <c r="L237" s="2">
        <v>92.2</v>
      </c>
      <c r="M237" s="2">
        <v>3.02</v>
      </c>
      <c r="N237" s="2">
        <v>0</v>
      </c>
      <c r="O237" s="2">
        <v>4.0999999999999996</v>
      </c>
      <c r="P237" s="2">
        <v>670629.48</v>
      </c>
      <c r="Q237" s="2">
        <v>100140.8</v>
      </c>
      <c r="R237">
        <f t="shared" si="9"/>
        <v>0</v>
      </c>
      <c r="S237">
        <f t="shared" si="10"/>
        <v>0</v>
      </c>
      <c r="T237">
        <f t="shared" si="11"/>
        <v>0</v>
      </c>
    </row>
    <row r="238" spans="1:20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>
        <v>0</v>
      </c>
      <c r="I238">
        <v>0</v>
      </c>
      <c r="J238">
        <v>1</v>
      </c>
      <c r="K238" s="2">
        <v>22</v>
      </c>
      <c r="L238" s="2">
        <v>89.4</v>
      </c>
      <c r="M238" s="2">
        <v>3.22</v>
      </c>
      <c r="N238" s="2">
        <v>0</v>
      </c>
      <c r="O238" s="2">
        <v>3.7</v>
      </c>
      <c r="P238" s="2">
        <v>721079.35</v>
      </c>
      <c r="Q238" s="2">
        <v>115295.05</v>
      </c>
      <c r="R238">
        <f t="shared" si="9"/>
        <v>0</v>
      </c>
      <c r="S238">
        <f t="shared" si="10"/>
        <v>0</v>
      </c>
      <c r="T238">
        <f t="shared" si="11"/>
        <v>1</v>
      </c>
    </row>
    <row r="239" spans="1:20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>
        <v>0</v>
      </c>
      <c r="I239">
        <v>0</v>
      </c>
      <c r="J239">
        <v>1</v>
      </c>
      <c r="K239" s="2">
        <v>22</v>
      </c>
      <c r="L239" s="2">
        <v>89.1</v>
      </c>
      <c r="M239" s="2">
        <v>15.66</v>
      </c>
      <c r="N239" s="2">
        <v>0</v>
      </c>
      <c r="O239" s="2">
        <v>3.4</v>
      </c>
      <c r="P239" s="2">
        <v>810355.02</v>
      </c>
      <c r="Q239" s="2">
        <v>131510</v>
      </c>
      <c r="R239">
        <f t="shared" si="9"/>
        <v>0</v>
      </c>
      <c r="S239">
        <f t="shared" si="10"/>
        <v>0</v>
      </c>
      <c r="T239">
        <f t="shared" si="11"/>
        <v>1</v>
      </c>
    </row>
    <row r="240" spans="1:20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>
        <v>0</v>
      </c>
      <c r="I240">
        <v>0</v>
      </c>
      <c r="J240">
        <v>1</v>
      </c>
      <c r="K240" s="2">
        <v>23</v>
      </c>
      <c r="L240" s="2">
        <v>80.900000000000006</v>
      </c>
      <c r="M240" s="2">
        <v>6.96</v>
      </c>
      <c r="N240" s="2">
        <v>0</v>
      </c>
      <c r="O240" s="2">
        <v>3.2</v>
      </c>
      <c r="P240" s="2">
        <v>761919.25</v>
      </c>
      <c r="Q240" s="2">
        <v>111893.06</v>
      </c>
      <c r="R240">
        <f t="shared" si="9"/>
        <v>0</v>
      </c>
      <c r="S240">
        <f t="shared" si="10"/>
        <v>0</v>
      </c>
      <c r="T240">
        <f t="shared" si="11"/>
        <v>1</v>
      </c>
    </row>
    <row r="241" spans="1:20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>
        <v>0</v>
      </c>
      <c r="I241">
        <v>0</v>
      </c>
      <c r="J241">
        <v>1</v>
      </c>
      <c r="K241" s="2">
        <v>21</v>
      </c>
      <c r="L241" s="2">
        <v>83.7</v>
      </c>
      <c r="M241" s="2">
        <v>4.62</v>
      </c>
      <c r="N241" s="2">
        <v>0</v>
      </c>
      <c r="O241" s="2">
        <v>3.3</v>
      </c>
      <c r="P241" s="2">
        <v>737070.18</v>
      </c>
      <c r="Q241" s="2">
        <v>117593.97</v>
      </c>
      <c r="R241">
        <f t="shared" si="9"/>
        <v>0</v>
      </c>
      <c r="S241">
        <f t="shared" si="10"/>
        <v>0</v>
      </c>
      <c r="T241">
        <f t="shared" si="11"/>
        <v>1</v>
      </c>
    </row>
    <row r="242" spans="1:20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>
        <v>0</v>
      </c>
      <c r="I242">
        <v>1</v>
      </c>
      <c r="J242">
        <v>0</v>
      </c>
      <c r="K242" s="2">
        <v>22</v>
      </c>
      <c r="L242" s="2">
        <v>85.6</v>
      </c>
      <c r="M242" s="2">
        <v>10.68</v>
      </c>
      <c r="N242" s="2">
        <v>1</v>
      </c>
      <c r="O242" s="2">
        <v>2.9</v>
      </c>
      <c r="P242" s="2">
        <v>776992.93</v>
      </c>
      <c r="Q242" s="2">
        <v>101598.32</v>
      </c>
      <c r="R242">
        <f t="shared" si="9"/>
        <v>0</v>
      </c>
      <c r="S242">
        <f t="shared" si="10"/>
        <v>1</v>
      </c>
      <c r="T242">
        <f t="shared" si="11"/>
        <v>0</v>
      </c>
    </row>
    <row r="243" spans="1:20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>
        <v>0</v>
      </c>
      <c r="I243">
        <v>1</v>
      </c>
      <c r="J243">
        <v>0</v>
      </c>
      <c r="K243" s="2">
        <v>13</v>
      </c>
      <c r="L243" s="2">
        <v>85.5</v>
      </c>
      <c r="M243" s="2">
        <v>4.04</v>
      </c>
      <c r="N243" s="2">
        <v>0</v>
      </c>
      <c r="O243" s="2">
        <v>3.7</v>
      </c>
      <c r="P243" s="2">
        <v>676337.41</v>
      </c>
      <c r="Q243" s="2">
        <v>104355.77</v>
      </c>
      <c r="R243">
        <f t="shared" si="9"/>
        <v>0</v>
      </c>
      <c r="S243">
        <f t="shared" si="10"/>
        <v>1</v>
      </c>
      <c r="T243">
        <f t="shared" si="11"/>
        <v>0</v>
      </c>
    </row>
    <row r="244" spans="1:20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>
        <v>0</v>
      </c>
      <c r="I244">
        <v>1</v>
      </c>
      <c r="J244">
        <v>0</v>
      </c>
      <c r="K244" s="2">
        <v>24</v>
      </c>
      <c r="L244" s="2">
        <v>84.8</v>
      </c>
      <c r="M244" s="2">
        <v>1.87</v>
      </c>
      <c r="N244" s="2">
        <v>0</v>
      </c>
      <c r="O244" s="2">
        <v>3.5</v>
      </c>
      <c r="P244" s="2">
        <v>828219.67</v>
      </c>
      <c r="Q244" s="2">
        <v>179806.87</v>
      </c>
      <c r="R244">
        <f t="shared" si="9"/>
        <v>0</v>
      </c>
      <c r="S244">
        <f t="shared" si="10"/>
        <v>1</v>
      </c>
      <c r="T244">
        <f t="shared" si="11"/>
        <v>0</v>
      </c>
    </row>
    <row r="245" spans="1:20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>
        <v>0</v>
      </c>
      <c r="I245">
        <v>1</v>
      </c>
      <c r="J245">
        <v>0</v>
      </c>
      <c r="K245" s="2">
        <v>21</v>
      </c>
      <c r="L245" s="2">
        <v>95.2</v>
      </c>
      <c r="M245" s="2">
        <v>2.83</v>
      </c>
      <c r="N245" s="2">
        <v>0</v>
      </c>
      <c r="O245" s="2">
        <v>3</v>
      </c>
      <c r="P245" s="2">
        <v>763159.92</v>
      </c>
      <c r="Q245" s="2">
        <v>177104.87</v>
      </c>
      <c r="R245">
        <f t="shared" si="9"/>
        <v>0</v>
      </c>
      <c r="S245">
        <f t="shared" si="10"/>
        <v>1</v>
      </c>
      <c r="T245">
        <f t="shared" si="11"/>
        <v>0</v>
      </c>
    </row>
    <row r="246" spans="1:20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>
        <v>0</v>
      </c>
      <c r="I246">
        <v>0</v>
      </c>
      <c r="J246">
        <v>0</v>
      </c>
      <c r="K246" s="2">
        <v>20</v>
      </c>
      <c r="L246" s="2">
        <v>91</v>
      </c>
      <c r="M246" s="2">
        <v>0.95</v>
      </c>
      <c r="N246" s="2">
        <v>0</v>
      </c>
      <c r="O246" s="2">
        <v>3.2</v>
      </c>
      <c r="P246" s="2">
        <v>802001.68</v>
      </c>
      <c r="Q246" s="2">
        <v>159715.82</v>
      </c>
      <c r="R246">
        <f t="shared" si="9"/>
        <v>1</v>
      </c>
      <c r="S246">
        <f t="shared" si="10"/>
        <v>0</v>
      </c>
      <c r="T246">
        <f t="shared" si="11"/>
        <v>0</v>
      </c>
    </row>
    <row r="247" spans="1:20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>
        <v>0</v>
      </c>
      <c r="I247">
        <v>0</v>
      </c>
      <c r="J247">
        <v>0</v>
      </c>
      <c r="K247" s="2">
        <v>20</v>
      </c>
      <c r="L247" s="2">
        <v>89.9</v>
      </c>
      <c r="M247" s="2">
        <v>0.8</v>
      </c>
      <c r="N247" s="2">
        <v>0</v>
      </c>
      <c r="O247" s="2">
        <v>3.4</v>
      </c>
      <c r="P247" s="2">
        <v>750471.34</v>
      </c>
      <c r="Q247" s="2">
        <v>133788.04</v>
      </c>
      <c r="R247">
        <f t="shared" si="9"/>
        <v>1</v>
      </c>
      <c r="S247">
        <f t="shared" si="10"/>
        <v>0</v>
      </c>
      <c r="T247">
        <f t="shared" si="11"/>
        <v>0</v>
      </c>
    </row>
    <row r="248" spans="1:20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>
        <v>0</v>
      </c>
      <c r="I248">
        <v>0</v>
      </c>
      <c r="J248">
        <v>0</v>
      </c>
      <c r="K248" s="2">
        <v>21</v>
      </c>
      <c r="L248" s="2">
        <v>91.8</v>
      </c>
      <c r="M248" s="2">
        <v>0.2</v>
      </c>
      <c r="N248" s="2">
        <v>0</v>
      </c>
      <c r="O248" s="2">
        <v>3.1</v>
      </c>
      <c r="P248" s="2">
        <v>679230.86</v>
      </c>
      <c r="Q248" s="2">
        <v>106927.58</v>
      </c>
      <c r="R248">
        <f t="shared" si="9"/>
        <v>1</v>
      </c>
      <c r="S248">
        <f t="shared" si="10"/>
        <v>0</v>
      </c>
      <c r="T248">
        <f t="shared" si="11"/>
        <v>0</v>
      </c>
    </row>
    <row r="249" spans="1:20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>
        <v>0</v>
      </c>
      <c r="I249">
        <v>0</v>
      </c>
      <c r="J249">
        <v>0</v>
      </c>
      <c r="K249" s="2">
        <v>20</v>
      </c>
      <c r="L249" s="2">
        <v>90.4</v>
      </c>
      <c r="M249" s="2">
        <v>1.7</v>
      </c>
      <c r="N249" s="2">
        <v>0</v>
      </c>
      <c r="O249" s="2">
        <v>3.3</v>
      </c>
      <c r="P249" s="2">
        <v>679888.74</v>
      </c>
      <c r="Q249" s="2">
        <v>83406.89</v>
      </c>
      <c r="R249">
        <f t="shared" si="9"/>
        <v>1</v>
      </c>
      <c r="S249">
        <f t="shared" si="10"/>
        <v>0</v>
      </c>
      <c r="T249">
        <f t="shared" si="11"/>
        <v>0</v>
      </c>
    </row>
    <row r="250" spans="1:20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>
        <v>1</v>
      </c>
      <c r="I250">
        <v>0</v>
      </c>
      <c r="J250">
        <v>0</v>
      </c>
      <c r="K250" s="2">
        <v>10</v>
      </c>
      <c r="L250" s="2">
        <v>96.1</v>
      </c>
      <c r="M250" s="2"/>
      <c r="N250" s="2">
        <v>0</v>
      </c>
      <c r="O250" s="2">
        <v>3.8</v>
      </c>
      <c r="P250" s="2">
        <v>606783.67000000004</v>
      </c>
      <c r="Q250" s="2">
        <v>74515.87</v>
      </c>
      <c r="R250">
        <f t="shared" si="9"/>
        <v>1</v>
      </c>
      <c r="S250">
        <f t="shared" si="10"/>
        <v>0</v>
      </c>
      <c r="T250">
        <f t="shared" si="11"/>
        <v>0</v>
      </c>
    </row>
    <row r="251" spans="1:20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>
        <v>1</v>
      </c>
      <c r="I251">
        <v>0</v>
      </c>
      <c r="J251">
        <v>0</v>
      </c>
      <c r="K251" s="2">
        <v>17</v>
      </c>
      <c r="L251" s="2">
        <v>81.8</v>
      </c>
      <c r="M251" s="2">
        <v>5.0999999999999996</v>
      </c>
      <c r="N251" s="2">
        <v>0</v>
      </c>
      <c r="O251" s="2">
        <v>3.6</v>
      </c>
      <c r="P251" s="2">
        <v>642751.42000000004</v>
      </c>
      <c r="Q251" s="2">
        <v>131942.15</v>
      </c>
      <c r="R251">
        <f t="shared" si="9"/>
        <v>1</v>
      </c>
      <c r="S251">
        <f t="shared" si="10"/>
        <v>0</v>
      </c>
      <c r="T251">
        <f t="shared" si="11"/>
        <v>0</v>
      </c>
    </row>
    <row r="252" spans="1:20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>
        <v>1</v>
      </c>
      <c r="I252">
        <v>0</v>
      </c>
      <c r="J252">
        <v>0</v>
      </c>
      <c r="K252" s="2">
        <v>15</v>
      </c>
      <c r="L252" s="2">
        <v>88.4</v>
      </c>
      <c r="M252" s="2">
        <v>0.83</v>
      </c>
      <c r="N252" s="2">
        <v>0</v>
      </c>
      <c r="O252" s="2">
        <v>4</v>
      </c>
      <c r="P252" s="2">
        <v>647953.78</v>
      </c>
      <c r="Q252" s="2">
        <v>118497.43</v>
      </c>
      <c r="R252">
        <f t="shared" si="9"/>
        <v>1</v>
      </c>
      <c r="S252">
        <f t="shared" si="10"/>
        <v>0</v>
      </c>
      <c r="T252">
        <f t="shared" si="11"/>
        <v>0</v>
      </c>
    </row>
    <row r="253" spans="1:20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>
        <v>1</v>
      </c>
      <c r="I253">
        <v>0</v>
      </c>
      <c r="J253">
        <v>0</v>
      </c>
      <c r="K253" s="2">
        <v>14</v>
      </c>
      <c r="L253" s="2">
        <v>79.2</v>
      </c>
      <c r="M253" s="2">
        <v>1.1399999999999999</v>
      </c>
      <c r="N253" s="2">
        <v>0</v>
      </c>
      <c r="O253" s="2">
        <v>4</v>
      </c>
      <c r="P253" s="2">
        <v>729440.45</v>
      </c>
      <c r="Q253" s="2">
        <v>87614.29</v>
      </c>
      <c r="R253">
        <f t="shared" si="9"/>
        <v>1</v>
      </c>
      <c r="S253">
        <f t="shared" si="10"/>
        <v>0</v>
      </c>
      <c r="T253">
        <f t="shared" si="11"/>
        <v>0</v>
      </c>
    </row>
    <row r="254" spans="1:20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>
        <v>0</v>
      </c>
      <c r="I254">
        <v>1</v>
      </c>
      <c r="J254">
        <v>0</v>
      </c>
      <c r="K254" s="2">
        <v>16</v>
      </c>
      <c r="L254" s="2">
        <v>99</v>
      </c>
      <c r="M254" s="2">
        <v>9.5399999999999991</v>
      </c>
      <c r="N254" s="2">
        <v>0</v>
      </c>
      <c r="O254" s="2">
        <v>3.7</v>
      </c>
      <c r="P254" s="2">
        <v>764949</v>
      </c>
      <c r="Q254" s="2">
        <v>148322.43</v>
      </c>
      <c r="R254">
        <f t="shared" si="9"/>
        <v>0</v>
      </c>
      <c r="S254">
        <f t="shared" si="10"/>
        <v>1</v>
      </c>
      <c r="T254">
        <f t="shared" si="11"/>
        <v>0</v>
      </c>
    </row>
    <row r="255" spans="1:20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>
        <v>0</v>
      </c>
      <c r="I255">
        <v>1</v>
      </c>
      <c r="J255">
        <v>0</v>
      </c>
      <c r="K255" s="2">
        <v>17</v>
      </c>
      <c r="L255" s="2">
        <v>89.5</v>
      </c>
      <c r="M255" s="2">
        <v>5.48</v>
      </c>
      <c r="N255" s="2">
        <v>0</v>
      </c>
      <c r="O255" s="2">
        <v>3.2</v>
      </c>
      <c r="P255" s="2">
        <v>799046.94</v>
      </c>
      <c r="Q255" s="2">
        <v>144553.64000000001</v>
      </c>
      <c r="R255">
        <f t="shared" si="9"/>
        <v>0</v>
      </c>
      <c r="S255">
        <f t="shared" si="10"/>
        <v>1</v>
      </c>
      <c r="T255">
        <f t="shared" si="11"/>
        <v>0</v>
      </c>
    </row>
    <row r="256" spans="1:20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>
        <v>0</v>
      </c>
      <c r="I256">
        <v>1</v>
      </c>
      <c r="J256">
        <v>0</v>
      </c>
      <c r="K256" s="2">
        <v>13</v>
      </c>
      <c r="L256" s="2">
        <v>87.9</v>
      </c>
      <c r="M256" s="2">
        <v>0.84</v>
      </c>
      <c r="N256" s="2">
        <v>0</v>
      </c>
      <c r="O256" s="2">
        <v>3.6</v>
      </c>
      <c r="P256" s="2">
        <v>720079.54</v>
      </c>
      <c r="Q256" s="2">
        <v>119499.47</v>
      </c>
      <c r="R256">
        <f t="shared" si="9"/>
        <v>0</v>
      </c>
      <c r="S256">
        <f t="shared" si="10"/>
        <v>1</v>
      </c>
      <c r="T256">
        <f t="shared" si="11"/>
        <v>0</v>
      </c>
    </row>
    <row r="257" spans="1:20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>
        <v>0</v>
      </c>
      <c r="I257">
        <v>1</v>
      </c>
      <c r="J257">
        <v>0</v>
      </c>
      <c r="K257" s="2">
        <v>17</v>
      </c>
      <c r="L257" s="2">
        <v>88.3</v>
      </c>
      <c r="M257" s="2">
        <v>4.1900000000000004</v>
      </c>
      <c r="N257" s="2">
        <v>0</v>
      </c>
      <c r="O257" s="2">
        <v>4.0999999999999996</v>
      </c>
      <c r="P257" s="2">
        <v>612390.14</v>
      </c>
      <c r="Q257" s="2">
        <v>108985.74</v>
      </c>
      <c r="R257">
        <f t="shared" si="9"/>
        <v>0</v>
      </c>
      <c r="S257">
        <f t="shared" si="10"/>
        <v>1</v>
      </c>
      <c r="T257">
        <f t="shared" si="11"/>
        <v>0</v>
      </c>
    </row>
    <row r="258" spans="1:20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>
        <v>0</v>
      </c>
      <c r="I258">
        <v>1</v>
      </c>
      <c r="J258">
        <v>0</v>
      </c>
      <c r="K258" s="2">
        <v>19</v>
      </c>
      <c r="L258" s="2">
        <v>87.8</v>
      </c>
      <c r="M258" s="2">
        <v>1.26</v>
      </c>
      <c r="N258" s="2">
        <v>1</v>
      </c>
      <c r="O258" s="2">
        <v>4.3</v>
      </c>
      <c r="P258" s="2">
        <v>840108.12</v>
      </c>
      <c r="Q258" s="2">
        <v>126587.01</v>
      </c>
      <c r="R258">
        <f t="shared" si="9"/>
        <v>0</v>
      </c>
      <c r="S258">
        <f t="shared" si="10"/>
        <v>0</v>
      </c>
      <c r="T258">
        <f t="shared" si="11"/>
        <v>1</v>
      </c>
    </row>
    <row r="259" spans="1:20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>
        <v>0</v>
      </c>
      <c r="I259">
        <v>1</v>
      </c>
      <c r="J259">
        <v>0</v>
      </c>
      <c r="K259" s="2">
        <v>19</v>
      </c>
      <c r="L259" s="2">
        <v>82.7</v>
      </c>
      <c r="M259" s="2">
        <v>2.74</v>
      </c>
      <c r="N259" s="2">
        <v>0</v>
      </c>
      <c r="O259" s="2">
        <v>4.5999999999999996</v>
      </c>
      <c r="P259" s="2">
        <v>697888.09</v>
      </c>
      <c r="Q259" s="2">
        <v>116249.87</v>
      </c>
      <c r="R259">
        <f t="shared" ref="R259:R321" si="12">IF($D259="High Street", 1, 0)</f>
        <v>0</v>
      </c>
      <c r="S259">
        <f t="shared" ref="S259:S321" si="13">IF($D259="Airport", 1, 0)</f>
        <v>0</v>
      </c>
      <c r="T259">
        <f t="shared" ref="T259:T321" si="14">IF($D259="Mall", 1, 0)</f>
        <v>1</v>
      </c>
    </row>
    <row r="260" spans="1:20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>
        <v>0</v>
      </c>
      <c r="I260">
        <v>1</v>
      </c>
      <c r="J260">
        <v>0</v>
      </c>
      <c r="K260" s="2">
        <v>19</v>
      </c>
      <c r="L260" s="2">
        <v>87.5</v>
      </c>
      <c r="M260" s="2">
        <v>3.69</v>
      </c>
      <c r="N260" s="2">
        <v>0</v>
      </c>
      <c r="O260" s="2">
        <v>4.4000000000000004</v>
      </c>
      <c r="P260" s="2">
        <v>746115.59</v>
      </c>
      <c r="Q260" s="2">
        <v>94662.96</v>
      </c>
      <c r="R260">
        <f t="shared" si="12"/>
        <v>0</v>
      </c>
      <c r="S260">
        <f t="shared" si="13"/>
        <v>0</v>
      </c>
      <c r="T260">
        <f t="shared" si="14"/>
        <v>1</v>
      </c>
    </row>
    <row r="261" spans="1:20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>
        <v>0</v>
      </c>
      <c r="I261">
        <v>1</v>
      </c>
      <c r="J261">
        <v>0</v>
      </c>
      <c r="K261" s="2">
        <v>21</v>
      </c>
      <c r="L261" s="2">
        <v>92.2</v>
      </c>
      <c r="M261" s="2">
        <v>1.82</v>
      </c>
      <c r="N261" s="2">
        <v>0</v>
      </c>
      <c r="O261" s="2">
        <v>3.6</v>
      </c>
      <c r="P261" s="2">
        <v>776110.32</v>
      </c>
      <c r="Q261" s="2">
        <v>139676.21</v>
      </c>
      <c r="R261">
        <f t="shared" si="12"/>
        <v>0</v>
      </c>
      <c r="S261">
        <f t="shared" si="13"/>
        <v>0</v>
      </c>
      <c r="T261">
        <f t="shared" si="14"/>
        <v>1</v>
      </c>
    </row>
    <row r="262" spans="1:20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>
        <v>0</v>
      </c>
      <c r="I262">
        <v>0</v>
      </c>
      <c r="J262">
        <v>1</v>
      </c>
      <c r="K262" s="2">
        <v>10</v>
      </c>
      <c r="L262" s="2">
        <v>90.3</v>
      </c>
      <c r="M262" s="2">
        <v>6.62</v>
      </c>
      <c r="N262" s="2">
        <v>0</v>
      </c>
      <c r="O262" s="2">
        <v>4.2</v>
      </c>
      <c r="P262" s="2">
        <v>528852.62</v>
      </c>
      <c r="Q262" s="2">
        <v>68426.210000000006</v>
      </c>
      <c r="R262">
        <f t="shared" si="12"/>
        <v>1</v>
      </c>
      <c r="S262">
        <f t="shared" si="13"/>
        <v>0</v>
      </c>
      <c r="T262">
        <f t="shared" si="14"/>
        <v>0</v>
      </c>
    </row>
    <row r="263" spans="1:20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>
        <v>0</v>
      </c>
      <c r="I263">
        <v>0</v>
      </c>
      <c r="J263">
        <v>1</v>
      </c>
      <c r="K263" s="2">
        <v>13</v>
      </c>
      <c r="L263" s="2">
        <v>87.3</v>
      </c>
      <c r="M263" s="2"/>
      <c r="N263" s="2">
        <v>0</v>
      </c>
      <c r="O263" s="2">
        <v>4.2</v>
      </c>
      <c r="P263" s="2">
        <v>605751.32999999996</v>
      </c>
      <c r="Q263" s="2">
        <v>60685.53</v>
      </c>
      <c r="R263">
        <f t="shared" si="12"/>
        <v>1</v>
      </c>
      <c r="S263">
        <f t="shared" si="13"/>
        <v>0</v>
      </c>
      <c r="T263">
        <f t="shared" si="14"/>
        <v>0</v>
      </c>
    </row>
    <row r="264" spans="1:20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>
        <v>0</v>
      </c>
      <c r="I264">
        <v>0</v>
      </c>
      <c r="J264">
        <v>1</v>
      </c>
      <c r="K264" s="2">
        <v>11</v>
      </c>
      <c r="L264" s="2">
        <v>83.7</v>
      </c>
      <c r="M264" s="2">
        <v>6.92</v>
      </c>
      <c r="N264" s="2">
        <v>1</v>
      </c>
      <c r="O264" s="2">
        <v>4.2</v>
      </c>
      <c r="P264" s="2">
        <v>677640.65</v>
      </c>
      <c r="Q264" s="2">
        <v>111610.89</v>
      </c>
      <c r="R264">
        <f t="shared" si="12"/>
        <v>1</v>
      </c>
      <c r="S264">
        <f t="shared" si="13"/>
        <v>0</v>
      </c>
      <c r="T264">
        <f t="shared" si="14"/>
        <v>0</v>
      </c>
    </row>
    <row r="265" spans="1:20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>
        <v>0</v>
      </c>
      <c r="I265">
        <v>0</v>
      </c>
      <c r="J265">
        <v>1</v>
      </c>
      <c r="K265" s="2">
        <v>12</v>
      </c>
      <c r="L265" s="2">
        <v>93.8</v>
      </c>
      <c r="M265" s="2">
        <v>11.78</v>
      </c>
      <c r="N265" s="2">
        <v>0</v>
      </c>
      <c r="O265" s="2">
        <v>3.7</v>
      </c>
      <c r="P265" s="2">
        <v>636613.23</v>
      </c>
      <c r="Q265" s="2">
        <v>78908.350000000006</v>
      </c>
      <c r="R265">
        <f t="shared" si="12"/>
        <v>1</v>
      </c>
      <c r="S265">
        <f t="shared" si="13"/>
        <v>0</v>
      </c>
      <c r="T265">
        <f t="shared" si="14"/>
        <v>0</v>
      </c>
    </row>
    <row r="266" spans="1:20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>
        <v>0</v>
      </c>
      <c r="I266">
        <v>0</v>
      </c>
      <c r="J266">
        <v>0</v>
      </c>
      <c r="K266" s="2">
        <v>15</v>
      </c>
      <c r="L266" s="2">
        <v>95.8</v>
      </c>
      <c r="M266" s="2">
        <v>0.5</v>
      </c>
      <c r="N266" s="2">
        <v>0</v>
      </c>
      <c r="O266" s="2">
        <v>3.5</v>
      </c>
      <c r="P266" s="2">
        <v>708985.19</v>
      </c>
      <c r="Q266" s="2">
        <v>125368.16</v>
      </c>
      <c r="R266">
        <f t="shared" si="12"/>
        <v>1</v>
      </c>
      <c r="S266">
        <f t="shared" si="13"/>
        <v>0</v>
      </c>
      <c r="T266">
        <f t="shared" si="14"/>
        <v>0</v>
      </c>
    </row>
    <row r="267" spans="1:20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>
        <v>0</v>
      </c>
      <c r="I267">
        <v>0</v>
      </c>
      <c r="J267">
        <v>0</v>
      </c>
      <c r="K267" s="2">
        <v>20</v>
      </c>
      <c r="L267" s="2">
        <v>85.2</v>
      </c>
      <c r="M267" s="2">
        <v>0.88</v>
      </c>
      <c r="N267" s="2">
        <v>0</v>
      </c>
      <c r="O267" s="2">
        <v>3.7</v>
      </c>
      <c r="P267" s="2">
        <v>767792.94</v>
      </c>
      <c r="Q267" s="2">
        <v>96235.77</v>
      </c>
      <c r="R267">
        <f t="shared" si="12"/>
        <v>1</v>
      </c>
      <c r="S267">
        <f t="shared" si="13"/>
        <v>0</v>
      </c>
      <c r="T267">
        <f t="shared" si="14"/>
        <v>0</v>
      </c>
    </row>
    <row r="268" spans="1:20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>
        <v>0</v>
      </c>
      <c r="I268">
        <v>0</v>
      </c>
      <c r="J268">
        <v>0</v>
      </c>
      <c r="K268" s="2">
        <v>21</v>
      </c>
      <c r="L268" s="2">
        <v>88.3</v>
      </c>
      <c r="M268" s="2">
        <v>2.25</v>
      </c>
      <c r="N268" s="2">
        <v>0</v>
      </c>
      <c r="O268" s="2">
        <v>3.7</v>
      </c>
      <c r="P268" s="2">
        <v>745580.51</v>
      </c>
      <c r="Q268" s="2">
        <v>116273.68</v>
      </c>
      <c r="R268">
        <f t="shared" si="12"/>
        <v>1</v>
      </c>
      <c r="S268">
        <f t="shared" si="13"/>
        <v>0</v>
      </c>
      <c r="T268">
        <f t="shared" si="14"/>
        <v>0</v>
      </c>
    </row>
    <row r="269" spans="1:20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>
        <v>0</v>
      </c>
      <c r="I269">
        <v>0</v>
      </c>
      <c r="J269">
        <v>0</v>
      </c>
      <c r="K269" s="2">
        <v>15</v>
      </c>
      <c r="L269" s="2">
        <v>92.9</v>
      </c>
      <c r="M269" s="2">
        <v>0.28999999999999998</v>
      </c>
      <c r="N269" s="2">
        <v>0</v>
      </c>
      <c r="O269" s="2">
        <v>3.5</v>
      </c>
      <c r="P269" s="2">
        <v>762328.31</v>
      </c>
      <c r="Q269" s="2">
        <v>159158.19</v>
      </c>
      <c r="R269">
        <f t="shared" si="12"/>
        <v>1</v>
      </c>
      <c r="S269">
        <f t="shared" si="13"/>
        <v>0</v>
      </c>
      <c r="T269">
        <f t="shared" si="14"/>
        <v>0</v>
      </c>
    </row>
    <row r="270" spans="1:20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>
        <v>0</v>
      </c>
      <c r="I270">
        <v>0</v>
      </c>
      <c r="J270">
        <v>0</v>
      </c>
      <c r="K270" s="2">
        <v>16</v>
      </c>
      <c r="L270" s="2">
        <v>94.9</v>
      </c>
      <c r="M270" s="2">
        <v>0.65</v>
      </c>
      <c r="N270" s="2">
        <v>0</v>
      </c>
      <c r="O270" s="2">
        <v>3.6</v>
      </c>
      <c r="P270" s="2">
        <v>660633.99</v>
      </c>
      <c r="Q270" s="2">
        <v>118768.66</v>
      </c>
      <c r="R270">
        <f t="shared" si="12"/>
        <v>0</v>
      </c>
      <c r="S270">
        <f t="shared" si="13"/>
        <v>0</v>
      </c>
      <c r="T270">
        <f t="shared" si="14"/>
        <v>1</v>
      </c>
    </row>
    <row r="271" spans="1:20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>
        <v>0</v>
      </c>
      <c r="I271">
        <v>0</v>
      </c>
      <c r="J271">
        <v>0</v>
      </c>
      <c r="K271" s="2">
        <v>20</v>
      </c>
      <c r="L271" s="2">
        <v>89</v>
      </c>
      <c r="M271" s="2">
        <v>0.2</v>
      </c>
      <c r="N271" s="2">
        <v>0</v>
      </c>
      <c r="O271" s="2">
        <v>3.5</v>
      </c>
      <c r="P271" s="2">
        <v>739374.56</v>
      </c>
      <c r="Q271" s="2">
        <v>121032.29</v>
      </c>
      <c r="R271">
        <f t="shared" si="12"/>
        <v>0</v>
      </c>
      <c r="S271">
        <f t="shared" si="13"/>
        <v>0</v>
      </c>
      <c r="T271">
        <f t="shared" si="14"/>
        <v>1</v>
      </c>
    </row>
    <row r="272" spans="1:20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>
        <v>0</v>
      </c>
      <c r="I272">
        <v>0</v>
      </c>
      <c r="J272">
        <v>0</v>
      </c>
      <c r="K272" s="2">
        <v>21</v>
      </c>
      <c r="L272" s="2">
        <v>87.6</v>
      </c>
      <c r="M272" s="2">
        <v>3.63</v>
      </c>
      <c r="N272" s="2">
        <v>1</v>
      </c>
      <c r="O272" s="2">
        <v>3.8</v>
      </c>
      <c r="P272" s="2">
        <v>799756.46</v>
      </c>
      <c r="Q272" s="2">
        <v>105052.93</v>
      </c>
      <c r="R272">
        <f t="shared" si="12"/>
        <v>0</v>
      </c>
      <c r="S272">
        <f t="shared" si="13"/>
        <v>0</v>
      </c>
      <c r="T272">
        <f t="shared" si="14"/>
        <v>1</v>
      </c>
    </row>
    <row r="273" spans="1:20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>
        <v>0</v>
      </c>
      <c r="I273">
        <v>0</v>
      </c>
      <c r="J273">
        <v>0</v>
      </c>
      <c r="K273" s="2">
        <v>15</v>
      </c>
      <c r="L273" s="2">
        <v>86.2</v>
      </c>
      <c r="M273" s="2">
        <v>0.2</v>
      </c>
      <c r="N273" s="2">
        <v>0</v>
      </c>
      <c r="O273" s="2">
        <v>3.2</v>
      </c>
      <c r="P273" s="2">
        <v>593343</v>
      </c>
      <c r="Q273" s="2">
        <v>82832.240000000005</v>
      </c>
      <c r="R273">
        <f t="shared" si="12"/>
        <v>0</v>
      </c>
      <c r="S273">
        <f t="shared" si="13"/>
        <v>0</v>
      </c>
      <c r="T273">
        <f t="shared" si="14"/>
        <v>1</v>
      </c>
    </row>
    <row r="274" spans="1:20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>
        <v>0</v>
      </c>
      <c r="I274">
        <v>0</v>
      </c>
      <c r="J274">
        <v>1</v>
      </c>
      <c r="K274" s="2">
        <v>17</v>
      </c>
      <c r="L274" s="2">
        <v>85.6</v>
      </c>
      <c r="M274" s="2">
        <v>6.23</v>
      </c>
      <c r="N274" s="2">
        <v>0</v>
      </c>
      <c r="O274" s="2">
        <v>3.3</v>
      </c>
      <c r="P274" s="2">
        <v>645039.97</v>
      </c>
      <c r="Q274" s="2">
        <v>83093.33</v>
      </c>
      <c r="R274">
        <f t="shared" si="12"/>
        <v>1</v>
      </c>
      <c r="S274">
        <f t="shared" si="13"/>
        <v>0</v>
      </c>
      <c r="T274">
        <f t="shared" si="14"/>
        <v>0</v>
      </c>
    </row>
    <row r="275" spans="1:20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>
        <v>0</v>
      </c>
      <c r="I275">
        <v>0</v>
      </c>
      <c r="J275">
        <v>1</v>
      </c>
      <c r="K275" s="2">
        <v>14</v>
      </c>
      <c r="L275" s="2">
        <v>88.1</v>
      </c>
      <c r="M275" s="2">
        <v>1.04</v>
      </c>
      <c r="N275" s="2">
        <v>0</v>
      </c>
      <c r="O275" s="2">
        <v>3.1</v>
      </c>
      <c r="P275" s="2">
        <v>561597.32999999996</v>
      </c>
      <c r="Q275" s="2">
        <v>75072.75</v>
      </c>
      <c r="R275">
        <f t="shared" si="12"/>
        <v>1</v>
      </c>
      <c r="S275">
        <f t="shared" si="13"/>
        <v>0</v>
      </c>
      <c r="T275">
        <f t="shared" si="14"/>
        <v>0</v>
      </c>
    </row>
    <row r="276" spans="1:20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>
        <v>0</v>
      </c>
      <c r="I276">
        <v>0</v>
      </c>
      <c r="J276">
        <v>1</v>
      </c>
      <c r="K276" s="2">
        <v>17</v>
      </c>
      <c r="L276" s="2">
        <v>89.8</v>
      </c>
      <c r="M276" s="2">
        <v>1.76</v>
      </c>
      <c r="N276" s="2">
        <v>0</v>
      </c>
      <c r="O276" s="2">
        <v>3.1</v>
      </c>
      <c r="P276" s="2">
        <v>635837.74</v>
      </c>
      <c r="Q276" s="2">
        <v>114740.64</v>
      </c>
      <c r="R276">
        <f t="shared" si="12"/>
        <v>1</v>
      </c>
      <c r="S276">
        <f t="shared" si="13"/>
        <v>0</v>
      </c>
      <c r="T276">
        <f t="shared" si="14"/>
        <v>0</v>
      </c>
    </row>
    <row r="277" spans="1:20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>
        <v>0</v>
      </c>
      <c r="I277">
        <v>0</v>
      </c>
      <c r="J277">
        <v>1</v>
      </c>
      <c r="K277" s="2">
        <v>18</v>
      </c>
      <c r="L277" s="2">
        <v>77.599999999999994</v>
      </c>
      <c r="M277" s="2">
        <v>2.86</v>
      </c>
      <c r="N277" s="2">
        <v>0</v>
      </c>
      <c r="O277" s="2">
        <v>3</v>
      </c>
      <c r="P277" s="2">
        <v>686737.87</v>
      </c>
      <c r="Q277" s="2">
        <v>83839.67</v>
      </c>
      <c r="R277">
        <f t="shared" si="12"/>
        <v>1</v>
      </c>
      <c r="S277">
        <f t="shared" si="13"/>
        <v>0</v>
      </c>
      <c r="T277">
        <f t="shared" si="14"/>
        <v>0</v>
      </c>
    </row>
    <row r="278" spans="1:20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>
        <v>0</v>
      </c>
      <c r="I278">
        <v>1</v>
      </c>
      <c r="J278">
        <v>0</v>
      </c>
      <c r="K278" s="2">
        <v>17</v>
      </c>
      <c r="L278" s="2">
        <v>87.4</v>
      </c>
      <c r="M278" s="2">
        <v>18.14</v>
      </c>
      <c r="N278" s="2">
        <v>1</v>
      </c>
      <c r="O278" s="2">
        <v>3.4</v>
      </c>
      <c r="P278" s="2">
        <v>673076.34</v>
      </c>
      <c r="Q278" s="2">
        <v>93899.76</v>
      </c>
      <c r="R278">
        <f t="shared" si="12"/>
        <v>0</v>
      </c>
      <c r="S278">
        <f t="shared" si="13"/>
        <v>0</v>
      </c>
      <c r="T278">
        <f t="shared" si="14"/>
        <v>0</v>
      </c>
    </row>
    <row r="279" spans="1:20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>
        <v>0</v>
      </c>
      <c r="I279">
        <v>1</v>
      </c>
      <c r="J279">
        <v>0</v>
      </c>
      <c r="K279" s="2">
        <v>19</v>
      </c>
      <c r="L279" s="2">
        <v>88.7</v>
      </c>
      <c r="M279" s="2">
        <v>3.39</v>
      </c>
      <c r="N279" s="2">
        <v>0</v>
      </c>
      <c r="O279" s="2">
        <v>4</v>
      </c>
      <c r="P279" s="2">
        <v>738548.42</v>
      </c>
      <c r="Q279" s="2">
        <v>134282.76999999999</v>
      </c>
      <c r="R279">
        <f t="shared" si="12"/>
        <v>0</v>
      </c>
      <c r="S279">
        <f t="shared" si="13"/>
        <v>0</v>
      </c>
      <c r="T279">
        <f t="shared" si="14"/>
        <v>0</v>
      </c>
    </row>
    <row r="280" spans="1:20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>
        <v>0</v>
      </c>
      <c r="I280">
        <v>1</v>
      </c>
      <c r="J280">
        <v>0</v>
      </c>
      <c r="K280" s="2">
        <v>18</v>
      </c>
      <c r="L280" s="2">
        <v>86.5</v>
      </c>
      <c r="M280" s="2">
        <v>1.44</v>
      </c>
      <c r="N280" s="2">
        <v>0</v>
      </c>
      <c r="O280" s="2">
        <v>3.9</v>
      </c>
      <c r="P280" s="2">
        <v>756619.77</v>
      </c>
      <c r="Q280" s="2">
        <v>112057.69</v>
      </c>
      <c r="R280">
        <f t="shared" si="12"/>
        <v>0</v>
      </c>
      <c r="S280">
        <f t="shared" si="13"/>
        <v>0</v>
      </c>
      <c r="T280">
        <f t="shared" si="14"/>
        <v>0</v>
      </c>
    </row>
    <row r="281" spans="1:20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>
        <v>0</v>
      </c>
      <c r="I281">
        <v>1</v>
      </c>
      <c r="J281">
        <v>0</v>
      </c>
      <c r="K281" s="2">
        <v>23</v>
      </c>
      <c r="L281" s="2">
        <v>87</v>
      </c>
      <c r="M281" s="2">
        <v>3.65</v>
      </c>
      <c r="N281" s="2">
        <v>0</v>
      </c>
      <c r="O281" s="2">
        <v>3.7</v>
      </c>
      <c r="P281" s="2">
        <v>761122.42</v>
      </c>
      <c r="Q281" s="2">
        <v>149802.04</v>
      </c>
      <c r="R281">
        <f t="shared" si="12"/>
        <v>0</v>
      </c>
      <c r="S281">
        <f t="shared" si="13"/>
        <v>0</v>
      </c>
      <c r="T281">
        <f t="shared" si="14"/>
        <v>0</v>
      </c>
    </row>
    <row r="282" spans="1:20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>
        <v>0</v>
      </c>
      <c r="I282">
        <v>1</v>
      </c>
      <c r="J282">
        <v>0</v>
      </c>
      <c r="K282" s="2">
        <v>10</v>
      </c>
      <c r="L282" s="2">
        <v>83</v>
      </c>
      <c r="M282" s="2">
        <v>1.23</v>
      </c>
      <c r="N282" s="2">
        <v>1</v>
      </c>
      <c r="O282" s="2">
        <v>3.8</v>
      </c>
      <c r="P282" s="2">
        <v>524899.56999999995</v>
      </c>
      <c r="Q282" s="2">
        <v>63619.98</v>
      </c>
      <c r="R282">
        <f t="shared" si="12"/>
        <v>1</v>
      </c>
      <c r="S282">
        <f t="shared" si="13"/>
        <v>0</v>
      </c>
      <c r="T282">
        <f t="shared" si="14"/>
        <v>0</v>
      </c>
    </row>
    <row r="283" spans="1:20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>
        <v>0</v>
      </c>
      <c r="I283">
        <v>1</v>
      </c>
      <c r="J283">
        <v>0</v>
      </c>
      <c r="K283" s="2">
        <v>15</v>
      </c>
      <c r="L283" s="2">
        <v>87.9</v>
      </c>
      <c r="M283" s="2">
        <v>3.09</v>
      </c>
      <c r="N283" s="2">
        <v>0</v>
      </c>
      <c r="O283" s="2">
        <v>4</v>
      </c>
      <c r="P283" s="2">
        <v>555557.77</v>
      </c>
      <c r="Q283" s="2">
        <v>86475.51</v>
      </c>
      <c r="R283">
        <f t="shared" si="12"/>
        <v>1</v>
      </c>
      <c r="S283">
        <f t="shared" si="13"/>
        <v>0</v>
      </c>
      <c r="T283">
        <f t="shared" si="14"/>
        <v>0</v>
      </c>
    </row>
    <row r="284" spans="1:20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>
        <v>0</v>
      </c>
      <c r="I284">
        <v>1</v>
      </c>
      <c r="J284">
        <v>0</v>
      </c>
      <c r="K284" s="2">
        <v>17</v>
      </c>
      <c r="L284" s="2">
        <v>95.8</v>
      </c>
      <c r="M284" s="2">
        <v>3.15</v>
      </c>
      <c r="N284" s="2">
        <v>0</v>
      </c>
      <c r="O284" s="2">
        <v>4</v>
      </c>
      <c r="P284" s="2">
        <v>714083.68</v>
      </c>
      <c r="Q284" s="2">
        <v>127231.74</v>
      </c>
      <c r="R284">
        <f t="shared" si="12"/>
        <v>1</v>
      </c>
      <c r="S284">
        <f t="shared" si="13"/>
        <v>0</v>
      </c>
      <c r="T284">
        <f t="shared" si="14"/>
        <v>0</v>
      </c>
    </row>
    <row r="285" spans="1:20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>
        <v>0</v>
      </c>
      <c r="I285">
        <v>1</v>
      </c>
      <c r="J285">
        <v>0</v>
      </c>
      <c r="K285" s="2">
        <v>11</v>
      </c>
      <c r="L285" s="2">
        <v>80.900000000000006</v>
      </c>
      <c r="M285" s="2">
        <v>6.44</v>
      </c>
      <c r="N285" s="2">
        <v>0</v>
      </c>
      <c r="O285" s="2">
        <v>4.2</v>
      </c>
      <c r="P285" s="2">
        <v>497439.82</v>
      </c>
      <c r="Q285" s="2">
        <v>93372.75</v>
      </c>
      <c r="R285">
        <f t="shared" si="12"/>
        <v>1</v>
      </c>
      <c r="S285">
        <f t="shared" si="13"/>
        <v>0</v>
      </c>
      <c r="T285">
        <f t="shared" si="14"/>
        <v>0</v>
      </c>
    </row>
    <row r="286" spans="1:20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>
        <v>0</v>
      </c>
      <c r="I286">
        <v>0</v>
      </c>
      <c r="J286">
        <v>1</v>
      </c>
      <c r="K286" s="2">
        <v>13</v>
      </c>
      <c r="L286" s="2">
        <v>86.3</v>
      </c>
      <c r="M286" s="2">
        <v>0.2</v>
      </c>
      <c r="N286" s="2">
        <v>1</v>
      </c>
      <c r="O286" s="2">
        <v>4.5</v>
      </c>
      <c r="P286" s="2">
        <v>636775.66</v>
      </c>
      <c r="Q286" s="2">
        <v>122636.86</v>
      </c>
      <c r="R286">
        <f t="shared" si="12"/>
        <v>0</v>
      </c>
      <c r="S286">
        <f t="shared" si="13"/>
        <v>0</v>
      </c>
      <c r="T286">
        <f t="shared" si="14"/>
        <v>0</v>
      </c>
    </row>
    <row r="287" spans="1:20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>
        <v>0</v>
      </c>
      <c r="I287">
        <v>0</v>
      </c>
      <c r="J287">
        <v>1</v>
      </c>
      <c r="K287" s="2">
        <v>10</v>
      </c>
      <c r="L287" s="2">
        <v>90.4</v>
      </c>
      <c r="M287" s="2">
        <v>0.59</v>
      </c>
      <c r="N287" s="2">
        <v>0</v>
      </c>
      <c r="O287" s="2">
        <v>4.5</v>
      </c>
      <c r="P287" s="2">
        <v>633009.53</v>
      </c>
      <c r="Q287" s="2">
        <v>123782.67</v>
      </c>
      <c r="R287">
        <f t="shared" si="12"/>
        <v>0</v>
      </c>
      <c r="S287">
        <f t="shared" si="13"/>
        <v>0</v>
      </c>
      <c r="T287">
        <f t="shared" si="14"/>
        <v>0</v>
      </c>
    </row>
    <row r="288" spans="1:20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>
        <v>0</v>
      </c>
      <c r="I288">
        <v>0</v>
      </c>
      <c r="J288">
        <v>1</v>
      </c>
      <c r="K288" s="2">
        <v>11</v>
      </c>
      <c r="L288" s="2">
        <v>92</v>
      </c>
      <c r="M288" s="2">
        <v>0.2</v>
      </c>
      <c r="N288" s="2">
        <v>1</v>
      </c>
      <c r="O288" s="2">
        <v>4.2</v>
      </c>
      <c r="P288" s="2">
        <v>609949</v>
      </c>
      <c r="Q288" s="2">
        <v>126789.25</v>
      </c>
      <c r="R288">
        <f t="shared" si="12"/>
        <v>0</v>
      </c>
      <c r="S288">
        <f t="shared" si="13"/>
        <v>0</v>
      </c>
      <c r="T288">
        <f t="shared" si="14"/>
        <v>0</v>
      </c>
    </row>
    <row r="289" spans="1:20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>
        <v>0</v>
      </c>
      <c r="I289">
        <v>0</v>
      </c>
      <c r="J289">
        <v>1</v>
      </c>
      <c r="K289" s="2">
        <v>13</v>
      </c>
      <c r="L289" s="2">
        <v>82.4</v>
      </c>
      <c r="M289" s="2">
        <v>1.36</v>
      </c>
      <c r="N289" s="2">
        <v>0</v>
      </c>
      <c r="O289" s="2">
        <v>4.8</v>
      </c>
      <c r="P289" s="2">
        <v>548103.69999999995</v>
      </c>
      <c r="Q289" s="2">
        <v>99905.52</v>
      </c>
      <c r="R289">
        <f t="shared" si="12"/>
        <v>0</v>
      </c>
      <c r="S289">
        <f t="shared" si="13"/>
        <v>0</v>
      </c>
      <c r="T289">
        <f t="shared" si="14"/>
        <v>0</v>
      </c>
    </row>
    <row r="290" spans="1:20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>
        <v>0</v>
      </c>
      <c r="I290">
        <v>0</v>
      </c>
      <c r="J290">
        <v>0</v>
      </c>
      <c r="K290" s="2">
        <v>23</v>
      </c>
      <c r="L290" s="2">
        <v>72.900000000000006</v>
      </c>
      <c r="M290" s="2">
        <v>3.34</v>
      </c>
      <c r="N290" s="2">
        <v>0</v>
      </c>
      <c r="O290" s="2">
        <v>3.7</v>
      </c>
      <c r="P290" s="2">
        <v>729424.42</v>
      </c>
      <c r="Q290" s="2">
        <v>75592.28</v>
      </c>
      <c r="R290">
        <f t="shared" si="12"/>
        <v>0</v>
      </c>
      <c r="S290">
        <f t="shared" si="13"/>
        <v>0</v>
      </c>
      <c r="T290">
        <f t="shared" si="14"/>
        <v>0</v>
      </c>
    </row>
    <row r="291" spans="1:20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>
        <v>0</v>
      </c>
      <c r="I291">
        <v>0</v>
      </c>
      <c r="J291">
        <v>0</v>
      </c>
      <c r="K291" s="2">
        <v>22</v>
      </c>
      <c r="L291" s="2">
        <v>89</v>
      </c>
      <c r="M291" s="2">
        <v>0.33</v>
      </c>
      <c r="N291" s="2">
        <v>0</v>
      </c>
      <c r="O291" s="2">
        <v>4</v>
      </c>
      <c r="P291" s="2">
        <v>696261.49</v>
      </c>
      <c r="Q291" s="2">
        <v>72455.350000000006</v>
      </c>
      <c r="R291">
        <f t="shared" si="12"/>
        <v>0</v>
      </c>
      <c r="S291">
        <f t="shared" si="13"/>
        <v>0</v>
      </c>
      <c r="T291">
        <f t="shared" si="14"/>
        <v>0</v>
      </c>
    </row>
    <row r="292" spans="1:20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>
        <v>0</v>
      </c>
      <c r="I292">
        <v>0</v>
      </c>
      <c r="J292">
        <v>0</v>
      </c>
      <c r="K292" s="2">
        <v>21</v>
      </c>
      <c r="L292" s="2">
        <v>83.2</v>
      </c>
      <c r="M292" s="2">
        <v>3.44</v>
      </c>
      <c r="N292" s="2">
        <v>1</v>
      </c>
      <c r="O292" s="2">
        <v>4.3</v>
      </c>
      <c r="P292" s="2">
        <v>813316.71</v>
      </c>
      <c r="Q292" s="2">
        <v>110077.42</v>
      </c>
      <c r="R292">
        <f t="shared" si="12"/>
        <v>0</v>
      </c>
      <c r="S292">
        <f t="shared" si="13"/>
        <v>0</v>
      </c>
      <c r="T292">
        <f t="shared" si="14"/>
        <v>0</v>
      </c>
    </row>
    <row r="293" spans="1:20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>
        <v>0</v>
      </c>
      <c r="I293">
        <v>0</v>
      </c>
      <c r="J293">
        <v>0</v>
      </c>
      <c r="K293" s="2">
        <v>15</v>
      </c>
      <c r="L293" s="2">
        <v>97</v>
      </c>
      <c r="M293" s="2">
        <v>5.33</v>
      </c>
      <c r="N293" s="2">
        <v>0</v>
      </c>
      <c r="O293" s="2">
        <v>4.0999999999999996</v>
      </c>
      <c r="P293" s="2">
        <v>702068.92</v>
      </c>
      <c r="Q293" s="2">
        <v>111266.63</v>
      </c>
      <c r="R293">
        <f t="shared" si="12"/>
        <v>0</v>
      </c>
      <c r="S293">
        <f t="shared" si="13"/>
        <v>0</v>
      </c>
      <c r="T293">
        <f t="shared" si="14"/>
        <v>0</v>
      </c>
    </row>
    <row r="294" spans="1:20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>
        <v>0</v>
      </c>
      <c r="I294">
        <v>0</v>
      </c>
      <c r="J294">
        <v>1</v>
      </c>
      <c r="K294" s="2">
        <v>8</v>
      </c>
      <c r="L294" s="2">
        <v>86.7</v>
      </c>
      <c r="M294" s="2">
        <v>6.04</v>
      </c>
      <c r="N294" s="2">
        <v>0</v>
      </c>
      <c r="O294" s="2">
        <v>4.5</v>
      </c>
      <c r="P294" s="2">
        <v>546223.69999999995</v>
      </c>
      <c r="Q294" s="2">
        <v>100769.17</v>
      </c>
      <c r="R294">
        <f t="shared" si="12"/>
        <v>1</v>
      </c>
      <c r="S294">
        <f t="shared" si="13"/>
        <v>0</v>
      </c>
      <c r="T294">
        <f t="shared" si="14"/>
        <v>0</v>
      </c>
    </row>
    <row r="295" spans="1:20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>
        <v>0</v>
      </c>
      <c r="I295">
        <v>0</v>
      </c>
      <c r="J295">
        <v>1</v>
      </c>
      <c r="K295" s="2">
        <v>9</v>
      </c>
      <c r="L295" s="2">
        <v>88.7</v>
      </c>
      <c r="M295" s="2">
        <v>1.6</v>
      </c>
      <c r="N295" s="2">
        <v>0</v>
      </c>
      <c r="O295" s="2">
        <v>4.2</v>
      </c>
      <c r="P295" s="2">
        <v>533121.26</v>
      </c>
      <c r="Q295" s="2">
        <v>55063.39</v>
      </c>
      <c r="R295">
        <f t="shared" si="12"/>
        <v>1</v>
      </c>
      <c r="S295">
        <f t="shared" si="13"/>
        <v>0</v>
      </c>
      <c r="T295">
        <f t="shared" si="14"/>
        <v>0</v>
      </c>
    </row>
    <row r="296" spans="1:20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>
        <v>0</v>
      </c>
      <c r="I296">
        <v>0</v>
      </c>
      <c r="J296">
        <v>1</v>
      </c>
      <c r="K296" s="2">
        <v>10</v>
      </c>
      <c r="L296" s="2">
        <v>84.8</v>
      </c>
      <c r="M296" s="2">
        <v>8.9600000000000009</v>
      </c>
      <c r="N296" s="2">
        <v>0</v>
      </c>
      <c r="O296" s="2">
        <v>4.7</v>
      </c>
      <c r="P296" s="2">
        <v>498970.32</v>
      </c>
      <c r="Q296" s="2">
        <v>69656.7</v>
      </c>
      <c r="R296">
        <f t="shared" si="12"/>
        <v>1</v>
      </c>
      <c r="S296">
        <f t="shared" si="13"/>
        <v>0</v>
      </c>
      <c r="T296">
        <f t="shared" si="14"/>
        <v>0</v>
      </c>
    </row>
    <row r="297" spans="1:20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>
        <v>0</v>
      </c>
      <c r="I297">
        <v>0</v>
      </c>
      <c r="J297">
        <v>1</v>
      </c>
      <c r="K297" s="2">
        <v>9</v>
      </c>
      <c r="L297" s="2">
        <v>81</v>
      </c>
      <c r="M297" s="2">
        <v>0.74</v>
      </c>
      <c r="N297" s="2">
        <v>0</v>
      </c>
      <c r="O297" s="2">
        <v>4.5999999999999996</v>
      </c>
      <c r="P297" s="2">
        <v>487738.26</v>
      </c>
      <c r="Q297" s="2">
        <v>96435.6</v>
      </c>
      <c r="R297">
        <f t="shared" si="12"/>
        <v>1</v>
      </c>
      <c r="S297">
        <f t="shared" si="13"/>
        <v>0</v>
      </c>
      <c r="T297">
        <f t="shared" si="14"/>
        <v>0</v>
      </c>
    </row>
    <row r="298" spans="1:20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>
        <v>0</v>
      </c>
      <c r="I298">
        <v>0</v>
      </c>
      <c r="J298">
        <v>1</v>
      </c>
      <c r="K298" s="2">
        <v>12</v>
      </c>
      <c r="L298" s="2">
        <v>93.1</v>
      </c>
      <c r="M298" s="2">
        <v>6.13</v>
      </c>
      <c r="N298" s="2">
        <v>0</v>
      </c>
      <c r="O298" s="2">
        <v>3.3</v>
      </c>
      <c r="P298" s="2">
        <v>668459.37</v>
      </c>
      <c r="Q298" s="2">
        <v>126435.42</v>
      </c>
      <c r="R298">
        <f t="shared" si="12"/>
        <v>1</v>
      </c>
      <c r="S298">
        <f t="shared" si="13"/>
        <v>0</v>
      </c>
      <c r="T298">
        <f t="shared" si="14"/>
        <v>0</v>
      </c>
    </row>
    <row r="299" spans="1:20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>
        <v>0</v>
      </c>
      <c r="I299">
        <v>0</v>
      </c>
      <c r="J299">
        <v>1</v>
      </c>
      <c r="K299" s="2">
        <v>14</v>
      </c>
      <c r="L299" s="2">
        <v>96.2</v>
      </c>
      <c r="M299" s="2">
        <v>1.41</v>
      </c>
      <c r="N299" s="2">
        <v>0</v>
      </c>
      <c r="O299" s="2">
        <v>3.3</v>
      </c>
      <c r="P299" s="2">
        <v>763162.45</v>
      </c>
      <c r="Q299" s="2">
        <v>162524.04999999999</v>
      </c>
      <c r="R299">
        <f t="shared" si="12"/>
        <v>1</v>
      </c>
      <c r="S299">
        <f t="shared" si="13"/>
        <v>0</v>
      </c>
      <c r="T299">
        <f t="shared" si="14"/>
        <v>0</v>
      </c>
    </row>
    <row r="300" spans="1:20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>
        <v>0</v>
      </c>
      <c r="I300">
        <v>0</v>
      </c>
      <c r="J300">
        <v>1</v>
      </c>
      <c r="K300" s="2">
        <v>11</v>
      </c>
      <c r="L300" s="2">
        <v>91.7</v>
      </c>
      <c r="M300" s="2">
        <v>3.75</v>
      </c>
      <c r="N300" s="2">
        <v>0</v>
      </c>
      <c r="O300" s="2">
        <v>3.1</v>
      </c>
      <c r="P300" s="2">
        <v>599017.32999999996</v>
      </c>
      <c r="Q300" s="2">
        <v>134009.92000000001</v>
      </c>
      <c r="R300">
        <f t="shared" si="12"/>
        <v>1</v>
      </c>
      <c r="S300">
        <f t="shared" si="13"/>
        <v>0</v>
      </c>
      <c r="T300">
        <f t="shared" si="14"/>
        <v>0</v>
      </c>
    </row>
    <row r="301" spans="1:20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>
        <v>0</v>
      </c>
      <c r="I301">
        <v>0</v>
      </c>
      <c r="J301">
        <v>1</v>
      </c>
      <c r="K301" s="2">
        <v>6</v>
      </c>
      <c r="L301" s="2">
        <v>89.3</v>
      </c>
      <c r="M301" s="2">
        <v>15.06</v>
      </c>
      <c r="N301" s="2">
        <v>0</v>
      </c>
      <c r="O301" s="2">
        <v>3.2</v>
      </c>
      <c r="P301" s="2">
        <v>401582.58</v>
      </c>
      <c r="Q301" s="2">
        <v>68454.929999999993</v>
      </c>
      <c r="R301">
        <f t="shared" si="12"/>
        <v>1</v>
      </c>
      <c r="S301">
        <f t="shared" si="13"/>
        <v>0</v>
      </c>
      <c r="T301">
        <f t="shared" si="14"/>
        <v>0</v>
      </c>
    </row>
    <row r="302" spans="1:20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>
        <v>1</v>
      </c>
      <c r="I302">
        <v>0</v>
      </c>
      <c r="J302">
        <v>0</v>
      </c>
      <c r="K302" s="2">
        <v>22</v>
      </c>
      <c r="L302" s="2">
        <v>88.2</v>
      </c>
      <c r="M302" s="2">
        <v>5.07</v>
      </c>
      <c r="N302" s="2">
        <v>1</v>
      </c>
      <c r="O302" s="2">
        <v>4.0999999999999996</v>
      </c>
      <c r="P302" s="2">
        <v>703812.99</v>
      </c>
      <c r="Q302" s="2">
        <v>133577.98000000001</v>
      </c>
      <c r="R302">
        <f t="shared" si="12"/>
        <v>0</v>
      </c>
      <c r="S302">
        <f t="shared" si="13"/>
        <v>0</v>
      </c>
      <c r="T302">
        <f t="shared" si="14"/>
        <v>1</v>
      </c>
    </row>
    <row r="303" spans="1:20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>
        <v>1</v>
      </c>
      <c r="I303">
        <v>0</v>
      </c>
      <c r="J303">
        <v>0</v>
      </c>
      <c r="K303" s="2">
        <v>20</v>
      </c>
      <c r="L303" s="2">
        <v>83.3</v>
      </c>
      <c r="M303" s="2">
        <v>3.6</v>
      </c>
      <c r="N303" s="2">
        <v>0</v>
      </c>
      <c r="O303" s="2">
        <v>3.7</v>
      </c>
      <c r="P303" s="2">
        <v>724346.73</v>
      </c>
      <c r="Q303" s="2">
        <v>155013.91</v>
      </c>
      <c r="R303">
        <f t="shared" si="12"/>
        <v>0</v>
      </c>
      <c r="S303">
        <f t="shared" si="13"/>
        <v>0</v>
      </c>
      <c r="T303">
        <f t="shared" si="14"/>
        <v>1</v>
      </c>
    </row>
    <row r="304" spans="1:20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>
        <v>1</v>
      </c>
      <c r="I304">
        <v>0</v>
      </c>
      <c r="J304">
        <v>0</v>
      </c>
      <c r="K304" s="2">
        <v>19</v>
      </c>
      <c r="L304" s="2">
        <v>87.3</v>
      </c>
      <c r="M304" s="2">
        <v>4.3899999999999997</v>
      </c>
      <c r="N304" s="2">
        <v>1</v>
      </c>
      <c r="O304" s="2">
        <v>4.7</v>
      </c>
      <c r="P304" s="2">
        <v>730890.01</v>
      </c>
      <c r="Q304" s="2">
        <v>105502.56</v>
      </c>
      <c r="R304">
        <f t="shared" si="12"/>
        <v>0</v>
      </c>
      <c r="S304">
        <f t="shared" si="13"/>
        <v>0</v>
      </c>
      <c r="T304">
        <f t="shared" si="14"/>
        <v>1</v>
      </c>
    </row>
    <row r="305" spans="1:20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>
        <v>1</v>
      </c>
      <c r="I305">
        <v>0</v>
      </c>
      <c r="J305">
        <v>0</v>
      </c>
      <c r="K305" s="2">
        <v>18</v>
      </c>
      <c r="L305" s="2">
        <v>93</v>
      </c>
      <c r="M305" s="2">
        <v>2.79</v>
      </c>
      <c r="N305" s="2">
        <v>0</v>
      </c>
      <c r="O305" s="2">
        <v>4.2</v>
      </c>
      <c r="P305" s="2">
        <v>780580.95</v>
      </c>
      <c r="Q305" s="2">
        <v>138144.46</v>
      </c>
      <c r="R305">
        <f t="shared" si="12"/>
        <v>0</v>
      </c>
      <c r="S305">
        <f t="shared" si="13"/>
        <v>0</v>
      </c>
      <c r="T305">
        <f t="shared" si="14"/>
        <v>1</v>
      </c>
    </row>
    <row r="306" spans="1:20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>
        <v>0</v>
      </c>
      <c r="I306">
        <v>1</v>
      </c>
      <c r="J306">
        <v>0</v>
      </c>
      <c r="K306" s="2">
        <v>14</v>
      </c>
      <c r="L306" s="2">
        <v>94.5</v>
      </c>
      <c r="M306" s="2">
        <v>1.56</v>
      </c>
      <c r="N306" s="2">
        <v>0</v>
      </c>
      <c r="O306" s="2">
        <v>4</v>
      </c>
      <c r="P306" s="2">
        <v>727957.48</v>
      </c>
      <c r="Q306" s="2">
        <v>74805.23</v>
      </c>
      <c r="R306">
        <f t="shared" si="12"/>
        <v>0</v>
      </c>
      <c r="S306">
        <f t="shared" si="13"/>
        <v>0</v>
      </c>
      <c r="T306">
        <f t="shared" si="14"/>
        <v>0</v>
      </c>
    </row>
    <row r="307" spans="1:20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>
        <v>0</v>
      </c>
      <c r="I307">
        <v>1</v>
      </c>
      <c r="J307">
        <v>0</v>
      </c>
      <c r="K307" s="2">
        <v>16</v>
      </c>
      <c r="L307" s="2">
        <v>86.9</v>
      </c>
      <c r="M307" s="2">
        <v>15.82</v>
      </c>
      <c r="N307" s="2">
        <v>0</v>
      </c>
      <c r="O307" s="2">
        <v>3.8</v>
      </c>
      <c r="P307" s="2">
        <v>538376</v>
      </c>
      <c r="Q307" s="2">
        <v>87605.62</v>
      </c>
      <c r="R307">
        <f t="shared" si="12"/>
        <v>0</v>
      </c>
      <c r="S307">
        <f t="shared" si="13"/>
        <v>0</v>
      </c>
      <c r="T307">
        <f t="shared" si="14"/>
        <v>0</v>
      </c>
    </row>
    <row r="308" spans="1:20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>
        <v>0</v>
      </c>
      <c r="I308">
        <v>1</v>
      </c>
      <c r="J308">
        <v>0</v>
      </c>
      <c r="K308" s="2">
        <v>14</v>
      </c>
      <c r="L308" s="2">
        <v>85.9</v>
      </c>
      <c r="M308" s="2">
        <v>1.17</v>
      </c>
      <c r="N308" s="2">
        <v>1</v>
      </c>
      <c r="O308" s="2">
        <v>3.7</v>
      </c>
      <c r="P308" s="2">
        <v>665342.49</v>
      </c>
      <c r="Q308" s="2">
        <v>93441.81</v>
      </c>
      <c r="R308">
        <f t="shared" si="12"/>
        <v>0</v>
      </c>
      <c r="S308">
        <f t="shared" si="13"/>
        <v>0</v>
      </c>
      <c r="T308">
        <f t="shared" si="14"/>
        <v>0</v>
      </c>
    </row>
    <row r="309" spans="1:20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>
        <v>0</v>
      </c>
      <c r="I309">
        <v>1</v>
      </c>
      <c r="J309">
        <v>0</v>
      </c>
      <c r="K309" s="2">
        <v>16</v>
      </c>
      <c r="L309" s="2">
        <v>99</v>
      </c>
      <c r="M309" s="2">
        <v>3.82</v>
      </c>
      <c r="N309" s="2">
        <v>0</v>
      </c>
      <c r="O309" s="2">
        <v>3.5</v>
      </c>
      <c r="P309" s="2">
        <v>651164.18000000005</v>
      </c>
      <c r="Q309" s="2">
        <v>109466.5</v>
      </c>
      <c r="R309">
        <f t="shared" si="12"/>
        <v>0</v>
      </c>
      <c r="S309">
        <f t="shared" si="13"/>
        <v>0</v>
      </c>
      <c r="T309">
        <f t="shared" si="14"/>
        <v>0</v>
      </c>
    </row>
    <row r="310" spans="1:20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>
        <v>0</v>
      </c>
      <c r="I310">
        <v>1</v>
      </c>
      <c r="J310">
        <v>0</v>
      </c>
      <c r="K310" s="2">
        <v>13</v>
      </c>
      <c r="L310" s="2">
        <v>87.5</v>
      </c>
      <c r="M310" s="2">
        <v>4.1399999999999997</v>
      </c>
      <c r="N310" s="2">
        <v>0</v>
      </c>
      <c r="O310" s="2">
        <v>4</v>
      </c>
      <c r="P310" s="2">
        <v>628538.30000000005</v>
      </c>
      <c r="Q310" s="2">
        <v>112509.15</v>
      </c>
      <c r="R310">
        <f t="shared" si="12"/>
        <v>1</v>
      </c>
      <c r="S310">
        <f t="shared" si="13"/>
        <v>0</v>
      </c>
      <c r="T310">
        <f t="shared" si="14"/>
        <v>0</v>
      </c>
    </row>
    <row r="311" spans="1:20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>
        <v>0</v>
      </c>
      <c r="I311">
        <v>1</v>
      </c>
      <c r="J311">
        <v>0</v>
      </c>
      <c r="K311" s="2">
        <v>14</v>
      </c>
      <c r="L311" s="2">
        <v>79.7</v>
      </c>
      <c r="M311" s="2">
        <v>1.1000000000000001</v>
      </c>
      <c r="N311" s="2">
        <v>0</v>
      </c>
      <c r="O311" s="2">
        <v>4.3</v>
      </c>
      <c r="P311" s="2">
        <v>536524.84</v>
      </c>
      <c r="Q311" s="2">
        <v>92752.94</v>
      </c>
      <c r="R311">
        <f t="shared" si="12"/>
        <v>1</v>
      </c>
      <c r="S311">
        <f t="shared" si="13"/>
        <v>0</v>
      </c>
      <c r="T311">
        <f t="shared" si="14"/>
        <v>0</v>
      </c>
    </row>
    <row r="312" spans="1:20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>
        <v>0</v>
      </c>
      <c r="I312">
        <v>1</v>
      </c>
      <c r="J312">
        <v>0</v>
      </c>
      <c r="K312" s="2">
        <v>13</v>
      </c>
      <c r="L312" s="2">
        <v>85.7</v>
      </c>
      <c r="M312" s="2">
        <v>10.6</v>
      </c>
      <c r="N312" s="2">
        <v>0</v>
      </c>
      <c r="O312" s="2">
        <v>4.2</v>
      </c>
      <c r="P312" s="2">
        <v>621677.30000000005</v>
      </c>
      <c r="Q312" s="2">
        <v>105192.52</v>
      </c>
      <c r="R312">
        <f t="shared" si="12"/>
        <v>1</v>
      </c>
      <c r="S312">
        <f t="shared" si="13"/>
        <v>0</v>
      </c>
      <c r="T312">
        <f t="shared" si="14"/>
        <v>0</v>
      </c>
    </row>
    <row r="313" spans="1:20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>
        <v>0</v>
      </c>
      <c r="I313">
        <v>1</v>
      </c>
      <c r="J313">
        <v>0</v>
      </c>
      <c r="K313" s="2">
        <v>20</v>
      </c>
      <c r="L313" s="2">
        <v>89</v>
      </c>
      <c r="M313" s="2">
        <v>0.9</v>
      </c>
      <c r="N313" s="2">
        <v>0</v>
      </c>
      <c r="O313" s="2"/>
      <c r="P313" s="2">
        <v>771129.07</v>
      </c>
      <c r="Q313" s="2">
        <v>116851.13</v>
      </c>
      <c r="R313">
        <f t="shared" si="12"/>
        <v>1</v>
      </c>
      <c r="S313">
        <f t="shared" si="13"/>
        <v>0</v>
      </c>
      <c r="T313">
        <f t="shared" si="14"/>
        <v>0</v>
      </c>
    </row>
    <row r="314" spans="1:20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>
        <v>1</v>
      </c>
      <c r="I314">
        <v>0</v>
      </c>
      <c r="J314">
        <v>0</v>
      </c>
      <c r="K314" s="2">
        <v>16</v>
      </c>
      <c r="L314" s="2">
        <v>85.5</v>
      </c>
      <c r="M314" s="2">
        <v>0.2</v>
      </c>
      <c r="N314" s="2">
        <v>0</v>
      </c>
      <c r="O314" s="2">
        <v>3.4</v>
      </c>
      <c r="P314" s="2">
        <v>702052.47</v>
      </c>
      <c r="Q314" s="2">
        <v>121732.51</v>
      </c>
      <c r="R314">
        <f t="shared" si="12"/>
        <v>0</v>
      </c>
      <c r="S314">
        <f t="shared" si="13"/>
        <v>0</v>
      </c>
      <c r="T314">
        <f t="shared" si="14"/>
        <v>0</v>
      </c>
    </row>
    <row r="315" spans="1:20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>
        <v>1</v>
      </c>
      <c r="I315">
        <v>0</v>
      </c>
      <c r="J315">
        <v>0</v>
      </c>
      <c r="K315" s="2">
        <v>18</v>
      </c>
      <c r="L315" s="2">
        <v>94.8</v>
      </c>
      <c r="M315" s="2">
        <v>4.67</v>
      </c>
      <c r="N315" s="2">
        <v>0</v>
      </c>
      <c r="O315" s="2"/>
      <c r="P315" s="2">
        <v>688368.46</v>
      </c>
      <c r="Q315" s="2">
        <v>93588.42</v>
      </c>
      <c r="R315">
        <f t="shared" si="12"/>
        <v>0</v>
      </c>
      <c r="S315">
        <f t="shared" si="13"/>
        <v>0</v>
      </c>
      <c r="T315">
        <f t="shared" si="14"/>
        <v>0</v>
      </c>
    </row>
    <row r="316" spans="1:20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>
        <v>1</v>
      </c>
      <c r="I316">
        <v>0</v>
      </c>
      <c r="J316">
        <v>0</v>
      </c>
      <c r="K316" s="2">
        <v>14</v>
      </c>
      <c r="L316" s="2">
        <v>98.2</v>
      </c>
      <c r="M316" s="2">
        <v>4.38</v>
      </c>
      <c r="N316" s="2">
        <v>1</v>
      </c>
      <c r="O316" s="2">
        <v>3.9</v>
      </c>
      <c r="P316" s="2">
        <v>712375.77</v>
      </c>
      <c r="Q316" s="2">
        <v>104171.53</v>
      </c>
      <c r="R316">
        <f t="shared" si="12"/>
        <v>0</v>
      </c>
      <c r="S316">
        <f t="shared" si="13"/>
        <v>0</v>
      </c>
      <c r="T316">
        <f t="shared" si="14"/>
        <v>0</v>
      </c>
    </row>
    <row r="317" spans="1:20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>
        <v>1</v>
      </c>
      <c r="I317">
        <v>0</v>
      </c>
      <c r="J317">
        <v>0</v>
      </c>
      <c r="K317" s="2">
        <v>20</v>
      </c>
      <c r="L317" s="2">
        <v>94.7</v>
      </c>
      <c r="M317" s="2">
        <v>4.4800000000000004</v>
      </c>
      <c r="N317" s="2">
        <v>0</v>
      </c>
      <c r="O317" s="2">
        <v>4.2</v>
      </c>
      <c r="P317" s="2">
        <v>844710.67</v>
      </c>
      <c r="Q317" s="2">
        <v>137140.18</v>
      </c>
      <c r="R317">
        <f t="shared" si="12"/>
        <v>0</v>
      </c>
      <c r="S317">
        <f t="shared" si="13"/>
        <v>0</v>
      </c>
      <c r="T317">
        <f t="shared" si="14"/>
        <v>0</v>
      </c>
    </row>
    <row r="318" spans="1:20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>
        <v>0</v>
      </c>
      <c r="I318">
        <v>0</v>
      </c>
      <c r="J318">
        <v>0</v>
      </c>
      <c r="K318" s="2">
        <v>15</v>
      </c>
      <c r="L318" s="2">
        <v>92.9</v>
      </c>
      <c r="M318" s="2">
        <v>1.02</v>
      </c>
      <c r="N318" s="2">
        <v>1</v>
      </c>
      <c r="O318" s="2">
        <v>4</v>
      </c>
      <c r="P318" s="2">
        <v>620264.19999999995</v>
      </c>
      <c r="Q318" s="2">
        <v>91365.64</v>
      </c>
      <c r="R318">
        <f t="shared" si="12"/>
        <v>0</v>
      </c>
      <c r="S318">
        <f t="shared" si="13"/>
        <v>0</v>
      </c>
      <c r="T318">
        <f t="shared" si="14"/>
        <v>0</v>
      </c>
    </row>
    <row r="319" spans="1:20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>
        <v>0</v>
      </c>
      <c r="I319">
        <v>0</v>
      </c>
      <c r="J319">
        <v>0</v>
      </c>
      <c r="K319" s="2">
        <v>11</v>
      </c>
      <c r="L319" s="2">
        <v>88</v>
      </c>
      <c r="M319" s="2">
        <v>0.2</v>
      </c>
      <c r="N319" s="2">
        <v>0</v>
      </c>
      <c r="O319" s="2">
        <v>3.8</v>
      </c>
      <c r="P319" s="2">
        <v>536845.42000000004</v>
      </c>
      <c r="Q319" s="2">
        <v>107473.75</v>
      </c>
      <c r="R319">
        <f t="shared" si="12"/>
        <v>0</v>
      </c>
      <c r="S319">
        <f t="shared" si="13"/>
        <v>0</v>
      </c>
      <c r="T319">
        <f t="shared" si="14"/>
        <v>0</v>
      </c>
    </row>
    <row r="320" spans="1:20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>
        <v>0</v>
      </c>
      <c r="I320">
        <v>0</v>
      </c>
      <c r="J320">
        <v>0</v>
      </c>
      <c r="K320" s="2">
        <v>20</v>
      </c>
      <c r="L320" s="2">
        <v>85.2</v>
      </c>
      <c r="M320" s="2">
        <v>4.8899999999999997</v>
      </c>
      <c r="N320" s="2">
        <v>1</v>
      </c>
      <c r="O320" s="2">
        <v>4.2</v>
      </c>
      <c r="P320" s="2">
        <v>726776.22</v>
      </c>
      <c r="Q320" s="2">
        <v>90804.49</v>
      </c>
      <c r="R320">
        <f t="shared" si="12"/>
        <v>0</v>
      </c>
      <c r="S320">
        <f t="shared" si="13"/>
        <v>0</v>
      </c>
      <c r="T320">
        <f t="shared" si="14"/>
        <v>0</v>
      </c>
    </row>
    <row r="321" spans="1:20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>
        <v>0</v>
      </c>
      <c r="I321">
        <v>0</v>
      </c>
      <c r="J321">
        <v>0</v>
      </c>
      <c r="K321" s="2">
        <v>17</v>
      </c>
      <c r="L321" s="2">
        <v>84.3</v>
      </c>
      <c r="M321" s="2">
        <v>11.82</v>
      </c>
      <c r="N321" s="2">
        <v>0</v>
      </c>
      <c r="O321" s="2">
        <v>4.0999999999999996</v>
      </c>
      <c r="P321" s="2">
        <v>559660.84</v>
      </c>
      <c r="Q321" s="2">
        <v>71443.61</v>
      </c>
      <c r="R321">
        <f t="shared" si="12"/>
        <v>0</v>
      </c>
      <c r="S321">
        <f t="shared" si="13"/>
        <v>0</v>
      </c>
      <c r="T321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1"/>
  <sheetViews>
    <sheetView topLeftCell="B1" workbookViewId="0"/>
  </sheetViews>
  <sheetFormatPr defaultRowHeight="14.25"/>
  <cols>
    <col min="1" max="14" width="16" customWidth="1"/>
    <col min="15" max="15" width="12.625" bestFit="1" customWidth="1"/>
    <col min="16" max="16" width="13" bestFit="1" customWidth="1"/>
    <col min="17" max="17" width="12" bestFit="1" customWidth="1"/>
    <col min="18" max="18" width="17.375" bestFit="1" customWidth="1"/>
    <col min="19" max="19" width="13.125" bestFit="1" customWidth="1"/>
    <col min="20" max="20" width="10.625" bestFit="1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118</v>
      </c>
      <c r="P1" s="1" t="s">
        <v>120</v>
      </c>
      <c r="Q1" s="1" t="s">
        <v>119</v>
      </c>
      <c r="R1" s="1" t="s">
        <v>121</v>
      </c>
      <c r="S1" s="1" t="s">
        <v>122</v>
      </c>
      <c r="T1" s="1" t="s">
        <v>123</v>
      </c>
    </row>
    <row r="2" spans="1:20">
      <c r="A2" s="2" t="s">
        <v>14</v>
      </c>
      <c r="B2" s="3">
        <v>45658</v>
      </c>
      <c r="C2" s="2" t="s">
        <v>15</v>
      </c>
      <c r="D2" s="2" t="s">
        <v>16</v>
      </c>
      <c r="E2" s="2">
        <v>70389.11</v>
      </c>
      <c r="F2" s="2">
        <v>8302</v>
      </c>
      <c r="G2" s="2">
        <v>4.2000000000000003E-2</v>
      </c>
      <c r="H2" s="2">
        <v>17</v>
      </c>
      <c r="I2" s="2">
        <v>75</v>
      </c>
      <c r="J2" s="2">
        <v>5.28</v>
      </c>
      <c r="K2" s="2">
        <v>1</v>
      </c>
      <c r="L2" s="2">
        <v>3.1</v>
      </c>
      <c r="M2" s="2">
        <v>658832.62</v>
      </c>
      <c r="N2" s="2">
        <v>84349.93</v>
      </c>
      <c r="O2">
        <f>IF($C2="North", 1, 0)</f>
        <v>0</v>
      </c>
      <c r="P2">
        <f>IF($C2="South", 1, 0)</f>
        <v>0</v>
      </c>
      <c r="Q2">
        <f>IF($C2="West", 1, 0)</f>
        <v>0</v>
      </c>
      <c r="R2">
        <f>IF($D2="High Street", 1, 0)</f>
        <v>0</v>
      </c>
      <c r="S2">
        <f>IF($D2="Airport", 1, 0)</f>
        <v>0</v>
      </c>
      <c r="T2">
        <f>IF($D2="Mall", 1, 0)</f>
        <v>0</v>
      </c>
    </row>
    <row r="3" spans="1:20">
      <c r="A3" s="2" t="s">
        <v>14</v>
      </c>
      <c r="B3" s="3">
        <v>45689</v>
      </c>
      <c r="C3" s="2" t="s">
        <v>15</v>
      </c>
      <c r="D3" s="2" t="s">
        <v>16</v>
      </c>
      <c r="E3" s="2">
        <v>43827.89</v>
      </c>
      <c r="F3" s="2">
        <v>8487</v>
      </c>
      <c r="G3" s="2">
        <v>0.16800000000000001</v>
      </c>
      <c r="H3" s="2">
        <v>23</v>
      </c>
      <c r="I3" s="2">
        <v>84.4</v>
      </c>
      <c r="J3" s="2">
        <v>4.3099999999999996</v>
      </c>
      <c r="K3" s="2">
        <v>0</v>
      </c>
      <c r="L3" s="2">
        <v>2.8</v>
      </c>
      <c r="M3" s="2">
        <v>634436</v>
      </c>
      <c r="N3" s="2">
        <v>106130.54</v>
      </c>
      <c r="O3">
        <f t="shared" ref="O3:O66" si="0">IF($C3="North", 1, 0)</f>
        <v>0</v>
      </c>
      <c r="P3">
        <f t="shared" ref="P3:P66" si="1">IF($C3="South", 1, 0)</f>
        <v>0</v>
      </c>
      <c r="Q3">
        <f t="shared" ref="Q3:Q66" si="2">IF($C3="West", 1, 0)</f>
        <v>0</v>
      </c>
      <c r="R3">
        <f t="shared" ref="R3:R66" si="3">IF($D3="High Street", 1, 0)</f>
        <v>0</v>
      </c>
      <c r="S3">
        <f t="shared" ref="S3:S66" si="4">IF($D3="Airport", 1, 0)</f>
        <v>0</v>
      </c>
      <c r="T3">
        <f t="shared" ref="T3:T66" si="5">IF($D3="Mall", 1, 0)</f>
        <v>0</v>
      </c>
    </row>
    <row r="4" spans="1:20">
      <c r="A4" s="2" t="s">
        <v>14</v>
      </c>
      <c r="B4" s="3">
        <v>45717</v>
      </c>
      <c r="C4" s="2" t="s">
        <v>15</v>
      </c>
      <c r="D4" s="2" t="s">
        <v>16</v>
      </c>
      <c r="E4" s="2">
        <v>59921.75</v>
      </c>
      <c r="F4" s="2">
        <v>9113</v>
      </c>
      <c r="G4" s="2">
        <v>0.13300000000000001</v>
      </c>
      <c r="H4" s="2">
        <v>20</v>
      </c>
      <c r="I4" s="2">
        <v>88</v>
      </c>
      <c r="J4" s="2">
        <v>12</v>
      </c>
      <c r="K4" s="2">
        <v>0</v>
      </c>
      <c r="L4" s="2">
        <v>3.2</v>
      </c>
      <c r="M4" s="2">
        <v>678722.06</v>
      </c>
      <c r="N4" s="2">
        <v>101883.86</v>
      </c>
      <c r="O4">
        <f t="shared" si="0"/>
        <v>0</v>
      </c>
      <c r="P4">
        <f t="shared" si="1"/>
        <v>0</v>
      </c>
      <c r="Q4">
        <f t="shared" si="2"/>
        <v>0</v>
      </c>
      <c r="R4">
        <f t="shared" si="3"/>
        <v>0</v>
      </c>
      <c r="S4">
        <f t="shared" si="4"/>
        <v>0</v>
      </c>
      <c r="T4">
        <f t="shared" si="5"/>
        <v>0</v>
      </c>
    </row>
    <row r="5" spans="1:20">
      <c r="A5" s="2" t="s">
        <v>14</v>
      </c>
      <c r="B5" s="3">
        <v>45748</v>
      </c>
      <c r="C5" s="2" t="s">
        <v>15</v>
      </c>
      <c r="D5" s="2" t="s">
        <v>16</v>
      </c>
      <c r="E5" s="2">
        <v>56856.63</v>
      </c>
      <c r="F5" s="2">
        <v>9431</v>
      </c>
      <c r="G5" s="2">
        <v>0.14199999999999999</v>
      </c>
      <c r="H5" s="2">
        <v>23</v>
      </c>
      <c r="I5" s="2">
        <v>86.9</v>
      </c>
      <c r="J5" s="2">
        <v>4.97</v>
      </c>
      <c r="K5" s="2">
        <v>0</v>
      </c>
      <c r="L5" s="2">
        <v>3.4</v>
      </c>
      <c r="M5" s="2">
        <v>658920.30000000005</v>
      </c>
      <c r="N5" s="2">
        <v>97910.37</v>
      </c>
      <c r="O5">
        <f t="shared" si="0"/>
        <v>0</v>
      </c>
      <c r="P5">
        <f t="shared" si="1"/>
        <v>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</row>
    <row r="6" spans="1:20">
      <c r="A6" s="2" t="s">
        <v>17</v>
      </c>
      <c r="B6" s="3">
        <v>45658</v>
      </c>
      <c r="C6" s="2" t="s">
        <v>15</v>
      </c>
      <c r="D6" s="2" t="s">
        <v>18</v>
      </c>
      <c r="E6" s="2">
        <v>48412.639999999999</v>
      </c>
      <c r="F6" s="2">
        <v>9545</v>
      </c>
      <c r="G6" s="2">
        <v>0.23100000000000001</v>
      </c>
      <c r="H6" s="2">
        <v>21</v>
      </c>
      <c r="I6" s="2">
        <v>97.6</v>
      </c>
      <c r="J6" s="2">
        <v>6.94</v>
      </c>
      <c r="K6" s="2">
        <v>1</v>
      </c>
      <c r="L6" s="2">
        <v>4.2</v>
      </c>
      <c r="M6" s="2">
        <v>741341.44</v>
      </c>
      <c r="N6" s="2">
        <v>119208.17</v>
      </c>
      <c r="O6">
        <f t="shared" si="0"/>
        <v>0</v>
      </c>
      <c r="P6">
        <f t="shared" si="1"/>
        <v>0</v>
      </c>
      <c r="Q6">
        <f t="shared" si="2"/>
        <v>0</v>
      </c>
      <c r="R6">
        <f t="shared" si="3"/>
        <v>1</v>
      </c>
      <c r="S6">
        <f t="shared" si="4"/>
        <v>0</v>
      </c>
      <c r="T6">
        <f t="shared" si="5"/>
        <v>0</v>
      </c>
    </row>
    <row r="7" spans="1:20">
      <c r="A7" s="2" t="s">
        <v>17</v>
      </c>
      <c r="B7" s="3">
        <v>45689</v>
      </c>
      <c r="C7" s="2" t="s">
        <v>15</v>
      </c>
      <c r="D7" s="2" t="s">
        <v>18</v>
      </c>
      <c r="E7" s="2">
        <v>64811.21</v>
      </c>
      <c r="F7" s="2">
        <v>9792</v>
      </c>
      <c r="G7" s="2">
        <v>0.112</v>
      </c>
      <c r="H7" s="2">
        <v>20</v>
      </c>
      <c r="I7" s="2">
        <v>84.2</v>
      </c>
      <c r="J7" s="2">
        <v>2.88</v>
      </c>
      <c r="K7" s="2">
        <v>0</v>
      </c>
      <c r="L7" s="2">
        <v>4.2</v>
      </c>
      <c r="M7" s="2">
        <v>761835.34</v>
      </c>
      <c r="N7" s="2">
        <v>149602.23000000001</v>
      </c>
      <c r="O7">
        <f t="shared" si="0"/>
        <v>0</v>
      </c>
      <c r="P7">
        <f t="shared" si="1"/>
        <v>0</v>
      </c>
      <c r="Q7">
        <f t="shared" si="2"/>
        <v>0</v>
      </c>
      <c r="R7">
        <f t="shared" si="3"/>
        <v>1</v>
      </c>
      <c r="S7">
        <f t="shared" si="4"/>
        <v>0</v>
      </c>
      <c r="T7">
        <f t="shared" si="5"/>
        <v>0</v>
      </c>
    </row>
    <row r="8" spans="1:20">
      <c r="A8" s="2" t="s">
        <v>17</v>
      </c>
      <c r="B8" s="3">
        <v>45717</v>
      </c>
      <c r="C8" s="2" t="s">
        <v>15</v>
      </c>
      <c r="D8" s="2" t="s">
        <v>18</v>
      </c>
      <c r="E8" s="2">
        <v>46213.45</v>
      </c>
      <c r="F8" s="2">
        <v>10616</v>
      </c>
      <c r="G8" s="2">
        <v>0.122</v>
      </c>
      <c r="H8" s="2">
        <v>22</v>
      </c>
      <c r="I8" s="2">
        <v>85.2</v>
      </c>
      <c r="J8" s="2">
        <v>0.2</v>
      </c>
      <c r="K8" s="2">
        <v>1</v>
      </c>
      <c r="L8" s="2">
        <v>4.0999999999999996</v>
      </c>
      <c r="M8" s="2">
        <v>806615.54</v>
      </c>
      <c r="N8" s="2">
        <v>131364.62</v>
      </c>
      <c r="O8">
        <f t="shared" si="0"/>
        <v>0</v>
      </c>
      <c r="P8">
        <f t="shared" si="1"/>
        <v>0</v>
      </c>
      <c r="Q8">
        <f t="shared" si="2"/>
        <v>0</v>
      </c>
      <c r="R8">
        <f t="shared" si="3"/>
        <v>1</v>
      </c>
      <c r="S8">
        <f t="shared" si="4"/>
        <v>0</v>
      </c>
      <c r="T8">
        <f t="shared" si="5"/>
        <v>0</v>
      </c>
    </row>
    <row r="9" spans="1:20">
      <c r="A9" s="2" t="s">
        <v>17</v>
      </c>
      <c r="B9" s="3">
        <v>45748</v>
      </c>
      <c r="C9" s="2" t="s">
        <v>15</v>
      </c>
      <c r="D9" s="2" t="s">
        <v>18</v>
      </c>
      <c r="E9" s="2">
        <v>68148.52</v>
      </c>
      <c r="F9" s="2">
        <v>8567</v>
      </c>
      <c r="G9" s="2">
        <v>0.127</v>
      </c>
      <c r="H9" s="2">
        <v>23</v>
      </c>
      <c r="I9" s="2">
        <v>95.6</v>
      </c>
      <c r="J9" s="2">
        <v>0.8</v>
      </c>
      <c r="K9" s="2">
        <v>0</v>
      </c>
      <c r="L9" s="2">
        <v>3.9</v>
      </c>
      <c r="M9" s="2">
        <v>850164.26</v>
      </c>
      <c r="N9" s="2">
        <v>149262.75</v>
      </c>
      <c r="O9">
        <f t="shared" si="0"/>
        <v>0</v>
      </c>
      <c r="P9">
        <f t="shared" si="1"/>
        <v>0</v>
      </c>
      <c r="Q9">
        <f t="shared" si="2"/>
        <v>0</v>
      </c>
      <c r="R9">
        <f t="shared" si="3"/>
        <v>1</v>
      </c>
      <c r="S9">
        <f t="shared" si="4"/>
        <v>0</v>
      </c>
      <c r="T9">
        <f t="shared" si="5"/>
        <v>0</v>
      </c>
    </row>
    <row r="10" spans="1:20">
      <c r="A10" s="2" t="s">
        <v>19</v>
      </c>
      <c r="B10" s="3">
        <v>45658</v>
      </c>
      <c r="C10" s="2" t="s">
        <v>20</v>
      </c>
      <c r="D10" s="2" t="s">
        <v>21</v>
      </c>
      <c r="E10" s="2">
        <v>71838.86</v>
      </c>
      <c r="F10" s="2">
        <v>10979</v>
      </c>
      <c r="G10" s="2">
        <v>0.215</v>
      </c>
      <c r="H10" s="2">
        <v>26</v>
      </c>
      <c r="I10" s="2">
        <v>88.6</v>
      </c>
      <c r="J10" s="2">
        <v>7.7</v>
      </c>
      <c r="K10" s="2">
        <v>1</v>
      </c>
      <c r="L10" s="2">
        <v>3.8</v>
      </c>
      <c r="M10" s="2">
        <v>930581.7</v>
      </c>
      <c r="N10" s="2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  <c r="R10">
        <f t="shared" si="3"/>
        <v>0</v>
      </c>
      <c r="S10">
        <f t="shared" si="4"/>
        <v>1</v>
      </c>
      <c r="T10">
        <f t="shared" si="5"/>
        <v>0</v>
      </c>
    </row>
    <row r="11" spans="1:20">
      <c r="A11" s="2" t="s">
        <v>19</v>
      </c>
      <c r="B11" s="3">
        <v>45689</v>
      </c>
      <c r="C11" s="2" t="s">
        <v>20</v>
      </c>
      <c r="D11" s="2" t="s">
        <v>21</v>
      </c>
      <c r="E11" s="2">
        <v>68133.440000000002</v>
      </c>
      <c r="F11" s="2">
        <v>9459</v>
      </c>
      <c r="G11" s="2">
        <v>0.22</v>
      </c>
      <c r="H11" s="2">
        <v>21</v>
      </c>
      <c r="I11" s="2">
        <v>85</v>
      </c>
      <c r="J11" s="2">
        <v>1.91</v>
      </c>
      <c r="K11" s="2">
        <v>0</v>
      </c>
      <c r="L11" s="2">
        <v>4.2</v>
      </c>
      <c r="M11" s="2">
        <v>779010.94</v>
      </c>
      <c r="N11" s="2">
        <v>106328.09</v>
      </c>
      <c r="O11">
        <f t="shared" si="0"/>
        <v>1</v>
      </c>
      <c r="P11">
        <f t="shared" si="1"/>
        <v>0</v>
      </c>
      <c r="Q11">
        <f t="shared" si="2"/>
        <v>0</v>
      </c>
      <c r="R11">
        <f t="shared" si="3"/>
        <v>0</v>
      </c>
      <c r="S11">
        <f t="shared" si="4"/>
        <v>1</v>
      </c>
      <c r="T11">
        <f t="shared" si="5"/>
        <v>0</v>
      </c>
    </row>
    <row r="12" spans="1:20">
      <c r="A12" s="2" t="s">
        <v>19</v>
      </c>
      <c r="B12" s="3">
        <v>45717</v>
      </c>
      <c r="C12" s="2" t="s">
        <v>20</v>
      </c>
      <c r="D12" s="2" t="s">
        <v>21</v>
      </c>
      <c r="E12" s="2">
        <v>34285.21</v>
      </c>
      <c r="F12" s="2">
        <v>9172</v>
      </c>
      <c r="G12" s="2">
        <v>0.21299999999999999</v>
      </c>
      <c r="H12" s="2">
        <v>22</v>
      </c>
      <c r="I12" s="2">
        <v>88.3</v>
      </c>
      <c r="J12" s="2">
        <v>10.46</v>
      </c>
      <c r="K12" s="2">
        <v>1</v>
      </c>
      <c r="L12" s="2">
        <v>3.8</v>
      </c>
      <c r="M12" s="2">
        <v>723060.76</v>
      </c>
      <c r="N12" s="2">
        <v>123131.24</v>
      </c>
      <c r="O12">
        <f t="shared" si="0"/>
        <v>1</v>
      </c>
      <c r="P12">
        <f t="shared" si="1"/>
        <v>0</v>
      </c>
      <c r="Q12">
        <f t="shared" si="2"/>
        <v>0</v>
      </c>
      <c r="R12">
        <f t="shared" si="3"/>
        <v>0</v>
      </c>
      <c r="S12">
        <f t="shared" si="4"/>
        <v>1</v>
      </c>
      <c r="T12">
        <f t="shared" si="5"/>
        <v>0</v>
      </c>
    </row>
    <row r="13" spans="1:20">
      <c r="A13" s="2" t="s">
        <v>19</v>
      </c>
      <c r="B13" s="3">
        <v>45748</v>
      </c>
      <c r="C13" s="2" t="s">
        <v>20</v>
      </c>
      <c r="D13" s="2" t="s">
        <v>21</v>
      </c>
      <c r="E13" s="2">
        <v>67979.88</v>
      </c>
      <c r="F13" s="2">
        <v>11230</v>
      </c>
      <c r="G13" s="2">
        <v>2E-3</v>
      </c>
      <c r="H13" s="2">
        <v>28</v>
      </c>
      <c r="I13" s="2">
        <v>85.3</v>
      </c>
      <c r="J13" s="2">
        <v>7.16</v>
      </c>
      <c r="K13" s="2">
        <v>0</v>
      </c>
      <c r="L13" s="2">
        <v>3.8</v>
      </c>
      <c r="M13" s="2">
        <v>910791.94</v>
      </c>
      <c r="N13" s="2">
        <v>158891.28</v>
      </c>
      <c r="O13">
        <f t="shared" si="0"/>
        <v>1</v>
      </c>
      <c r="P13">
        <f t="shared" si="1"/>
        <v>0</v>
      </c>
      <c r="Q13">
        <f t="shared" si="2"/>
        <v>0</v>
      </c>
      <c r="R13">
        <f t="shared" si="3"/>
        <v>0</v>
      </c>
      <c r="S13">
        <f t="shared" si="4"/>
        <v>1</v>
      </c>
      <c r="T13">
        <f t="shared" si="5"/>
        <v>0</v>
      </c>
    </row>
    <row r="14" spans="1:20">
      <c r="A14" s="2" t="s">
        <v>22</v>
      </c>
      <c r="B14" s="3">
        <v>45658</v>
      </c>
      <c r="C14" s="2" t="s">
        <v>15</v>
      </c>
      <c r="D14" s="2" t="s">
        <v>16</v>
      </c>
      <c r="E14" s="2">
        <v>71828.259999999995</v>
      </c>
      <c r="F14" s="2">
        <v>12775</v>
      </c>
      <c r="G14" s="2">
        <v>0.11600000000000001</v>
      </c>
      <c r="H14" s="2">
        <v>30</v>
      </c>
      <c r="I14" s="2">
        <v>81.7</v>
      </c>
      <c r="J14" s="2">
        <v>4.24</v>
      </c>
      <c r="K14" s="2">
        <v>1</v>
      </c>
      <c r="L14" s="2">
        <v>4.2</v>
      </c>
      <c r="M14" s="2">
        <v>922168.6</v>
      </c>
      <c r="N14" s="2">
        <v>107494.53</v>
      </c>
      <c r="O14">
        <f t="shared" si="0"/>
        <v>0</v>
      </c>
      <c r="P14">
        <f t="shared" si="1"/>
        <v>0</v>
      </c>
      <c r="Q14">
        <f t="shared" si="2"/>
        <v>0</v>
      </c>
      <c r="R14">
        <f t="shared" si="3"/>
        <v>0</v>
      </c>
      <c r="S14">
        <f t="shared" si="4"/>
        <v>0</v>
      </c>
      <c r="T14">
        <f t="shared" si="5"/>
        <v>0</v>
      </c>
    </row>
    <row r="15" spans="1:20">
      <c r="A15" s="2" t="s">
        <v>22</v>
      </c>
      <c r="B15" s="3">
        <v>45689</v>
      </c>
      <c r="C15" s="2" t="s">
        <v>15</v>
      </c>
      <c r="D15" s="2" t="s">
        <v>16</v>
      </c>
      <c r="E15" s="2">
        <v>55716.82</v>
      </c>
      <c r="F15" s="2">
        <v>10054</v>
      </c>
      <c r="G15" s="2">
        <v>0.14599999999999999</v>
      </c>
      <c r="H15" s="2">
        <v>24</v>
      </c>
      <c r="I15" s="2">
        <v>84.9</v>
      </c>
      <c r="J15" s="2">
        <v>1.06</v>
      </c>
      <c r="K15" s="2">
        <v>0</v>
      </c>
      <c r="L15" s="2">
        <v>4.3</v>
      </c>
      <c r="M15" s="2">
        <v>726606.28</v>
      </c>
      <c r="N15" s="2">
        <v>122729.29</v>
      </c>
      <c r="O15">
        <f t="shared" si="0"/>
        <v>0</v>
      </c>
      <c r="P15">
        <f t="shared" si="1"/>
        <v>0</v>
      </c>
      <c r="Q15">
        <f t="shared" si="2"/>
        <v>0</v>
      </c>
      <c r="R15">
        <f t="shared" si="3"/>
        <v>0</v>
      </c>
      <c r="S15">
        <f t="shared" si="4"/>
        <v>0</v>
      </c>
      <c r="T15">
        <f t="shared" si="5"/>
        <v>0</v>
      </c>
    </row>
    <row r="16" spans="1:20">
      <c r="A16" s="2" t="s">
        <v>22</v>
      </c>
      <c r="B16" s="3">
        <v>45717</v>
      </c>
      <c r="C16" s="2" t="s">
        <v>15</v>
      </c>
      <c r="D16" s="2" t="s">
        <v>16</v>
      </c>
      <c r="E16" s="2">
        <v>59909.51</v>
      </c>
      <c r="F16" s="2">
        <v>8895</v>
      </c>
      <c r="G16" s="2">
        <v>0.22800000000000001</v>
      </c>
      <c r="H16" s="2">
        <v>23</v>
      </c>
      <c r="I16" s="2">
        <v>88.8</v>
      </c>
      <c r="J16" s="2">
        <v>0.27</v>
      </c>
      <c r="K16" s="2">
        <v>0</v>
      </c>
      <c r="L16" s="2">
        <v>4.3</v>
      </c>
      <c r="M16" s="2">
        <v>746501.09</v>
      </c>
      <c r="N16" s="2">
        <v>136816.72</v>
      </c>
      <c r="O16">
        <f t="shared" si="0"/>
        <v>0</v>
      </c>
      <c r="P16">
        <f t="shared" si="1"/>
        <v>0</v>
      </c>
      <c r="Q16">
        <f t="shared" si="2"/>
        <v>0</v>
      </c>
      <c r="R16">
        <f t="shared" si="3"/>
        <v>0</v>
      </c>
      <c r="S16">
        <f t="shared" si="4"/>
        <v>0</v>
      </c>
      <c r="T16">
        <f t="shared" si="5"/>
        <v>0</v>
      </c>
    </row>
    <row r="17" spans="1:20">
      <c r="A17" s="2" t="s">
        <v>22</v>
      </c>
      <c r="B17" s="3">
        <v>45748</v>
      </c>
      <c r="C17" s="2" t="s">
        <v>15</v>
      </c>
      <c r="D17" s="2" t="s">
        <v>16</v>
      </c>
      <c r="E17" s="2">
        <v>75305.710000000006</v>
      </c>
      <c r="F17" s="2">
        <v>10940</v>
      </c>
      <c r="G17" s="2">
        <v>6.0000000000000001E-3</v>
      </c>
      <c r="H17" s="2">
        <v>26</v>
      </c>
      <c r="I17" s="2">
        <v>76.5</v>
      </c>
      <c r="J17" s="2">
        <v>1.32</v>
      </c>
      <c r="K17" s="2">
        <v>0</v>
      </c>
      <c r="L17" s="2">
        <v>4.5</v>
      </c>
      <c r="M17" s="2">
        <v>834017.02</v>
      </c>
      <c r="N17" s="2">
        <v>114745.03</v>
      </c>
      <c r="O17">
        <f t="shared" si="0"/>
        <v>0</v>
      </c>
      <c r="P17">
        <f t="shared" si="1"/>
        <v>0</v>
      </c>
      <c r="Q17">
        <f t="shared" si="2"/>
        <v>0</v>
      </c>
      <c r="R17">
        <f t="shared" si="3"/>
        <v>0</v>
      </c>
      <c r="S17">
        <f t="shared" si="4"/>
        <v>0</v>
      </c>
      <c r="T17">
        <f t="shared" si="5"/>
        <v>0</v>
      </c>
    </row>
    <row r="18" spans="1:20">
      <c r="A18" s="2" t="s">
        <v>23</v>
      </c>
      <c r="B18" s="3">
        <v>45658</v>
      </c>
      <c r="C18" s="2" t="s">
        <v>24</v>
      </c>
      <c r="D18" s="2" t="s">
        <v>16</v>
      </c>
      <c r="E18" s="2">
        <v>48804.22</v>
      </c>
      <c r="F18" s="2">
        <v>7057</v>
      </c>
      <c r="G18" s="2">
        <v>5.0000000000000001E-3</v>
      </c>
      <c r="H18" s="2">
        <v>15</v>
      </c>
      <c r="I18" s="2">
        <v>87.7</v>
      </c>
      <c r="J18" s="2">
        <v>1.22</v>
      </c>
      <c r="K18" s="2">
        <v>0</v>
      </c>
      <c r="L18" s="2">
        <v>3.7</v>
      </c>
      <c r="M18" s="2">
        <v>666152.52</v>
      </c>
      <c r="N18" s="2">
        <v>107490.58</v>
      </c>
      <c r="O18">
        <f t="shared" si="0"/>
        <v>0</v>
      </c>
      <c r="P18">
        <f t="shared" si="1"/>
        <v>1</v>
      </c>
      <c r="Q18">
        <f t="shared" si="2"/>
        <v>0</v>
      </c>
      <c r="R18">
        <f t="shared" si="3"/>
        <v>0</v>
      </c>
      <c r="S18">
        <f t="shared" si="4"/>
        <v>0</v>
      </c>
      <c r="T18">
        <f t="shared" si="5"/>
        <v>0</v>
      </c>
    </row>
    <row r="19" spans="1:20">
      <c r="A19" s="2" t="s">
        <v>23</v>
      </c>
      <c r="B19" s="3">
        <v>45689</v>
      </c>
      <c r="C19" s="2" t="s">
        <v>24</v>
      </c>
      <c r="D19" s="2" t="s">
        <v>16</v>
      </c>
      <c r="E19" s="2">
        <v>59117.9</v>
      </c>
      <c r="F19" s="2">
        <v>4263</v>
      </c>
      <c r="G19" s="2">
        <v>0.11899999999999999</v>
      </c>
      <c r="H19" s="2">
        <v>9</v>
      </c>
      <c r="I19" s="2">
        <v>87.6</v>
      </c>
      <c r="J19" s="2">
        <v>4.01</v>
      </c>
      <c r="K19" s="2">
        <v>0</v>
      </c>
      <c r="L19" s="2">
        <v>3.6</v>
      </c>
      <c r="M19" s="2">
        <v>573155.18999999994</v>
      </c>
      <c r="N19" s="2">
        <v>83680.75</v>
      </c>
      <c r="O19">
        <f t="shared" si="0"/>
        <v>0</v>
      </c>
      <c r="P19">
        <f t="shared" si="1"/>
        <v>1</v>
      </c>
      <c r="Q19">
        <f t="shared" si="2"/>
        <v>0</v>
      </c>
      <c r="R19">
        <f t="shared" si="3"/>
        <v>0</v>
      </c>
      <c r="S19">
        <f t="shared" si="4"/>
        <v>0</v>
      </c>
      <c r="T19">
        <f t="shared" si="5"/>
        <v>0</v>
      </c>
    </row>
    <row r="20" spans="1:20">
      <c r="A20" s="2" t="s">
        <v>23</v>
      </c>
      <c r="B20" s="3">
        <v>45717</v>
      </c>
      <c r="C20" s="2" t="s">
        <v>24</v>
      </c>
      <c r="D20" s="2" t="s">
        <v>16</v>
      </c>
      <c r="E20" s="2">
        <v>78831.12</v>
      </c>
      <c r="F20" s="2">
        <v>5538</v>
      </c>
      <c r="G20" s="2">
        <v>0</v>
      </c>
      <c r="H20" s="2">
        <v>15</v>
      </c>
      <c r="I20" s="2">
        <v>94.1</v>
      </c>
      <c r="J20" s="2">
        <v>0.2</v>
      </c>
      <c r="K20" s="2">
        <v>0</v>
      </c>
      <c r="L20" s="2">
        <v>3.9</v>
      </c>
      <c r="M20" s="2">
        <v>666573.19999999995</v>
      </c>
      <c r="N20" s="2">
        <v>140641.01999999999</v>
      </c>
      <c r="O20">
        <f t="shared" si="0"/>
        <v>0</v>
      </c>
      <c r="P20">
        <f t="shared" si="1"/>
        <v>1</v>
      </c>
      <c r="Q20">
        <f t="shared" si="2"/>
        <v>0</v>
      </c>
      <c r="R20">
        <f t="shared" si="3"/>
        <v>0</v>
      </c>
      <c r="S20">
        <f t="shared" si="4"/>
        <v>0</v>
      </c>
      <c r="T20">
        <f t="shared" si="5"/>
        <v>0</v>
      </c>
    </row>
    <row r="21" spans="1:20">
      <c r="A21" s="2" t="s">
        <v>23</v>
      </c>
      <c r="B21" s="3">
        <v>45748</v>
      </c>
      <c r="C21" s="2" t="s">
        <v>24</v>
      </c>
      <c r="D21" s="2" t="s">
        <v>16</v>
      </c>
      <c r="E21" s="2">
        <v>41441.93</v>
      </c>
      <c r="F21" s="2">
        <v>4865</v>
      </c>
      <c r="G21" s="2">
        <v>0.158</v>
      </c>
      <c r="H21" s="2">
        <v>16</v>
      </c>
      <c r="I21" s="2">
        <v>88.3</v>
      </c>
      <c r="J21" s="2">
        <v>0.5</v>
      </c>
      <c r="K21" s="2">
        <v>0</v>
      </c>
      <c r="L21" s="2">
        <v>4</v>
      </c>
      <c r="M21" s="2">
        <v>591619.94999999995</v>
      </c>
      <c r="N21" s="2">
        <v>99521.35</v>
      </c>
      <c r="O21">
        <f t="shared" si="0"/>
        <v>0</v>
      </c>
      <c r="P21">
        <f t="shared" si="1"/>
        <v>1</v>
      </c>
      <c r="Q21">
        <f t="shared" si="2"/>
        <v>0</v>
      </c>
      <c r="R21">
        <f t="shared" si="3"/>
        <v>0</v>
      </c>
      <c r="S21">
        <f t="shared" si="4"/>
        <v>0</v>
      </c>
      <c r="T21">
        <f t="shared" si="5"/>
        <v>0</v>
      </c>
    </row>
    <row r="22" spans="1:20">
      <c r="A22" s="2" t="s">
        <v>25</v>
      </c>
      <c r="B22" s="3">
        <v>45658</v>
      </c>
      <c r="C22" s="2" t="s">
        <v>20</v>
      </c>
      <c r="D22" s="2" t="s">
        <v>16</v>
      </c>
      <c r="E22" s="2">
        <v>30356.28</v>
      </c>
      <c r="F22" s="2">
        <v>2822</v>
      </c>
      <c r="G22" s="2">
        <v>0.23100000000000001</v>
      </c>
      <c r="H22" s="2">
        <v>9</v>
      </c>
      <c r="I22" s="2">
        <v>84.8</v>
      </c>
      <c r="J22" s="2">
        <v>6.95</v>
      </c>
      <c r="K22" s="2">
        <v>0</v>
      </c>
      <c r="L22" s="2">
        <v>5</v>
      </c>
      <c r="M22" s="2">
        <v>415721.82</v>
      </c>
      <c r="N22" s="2">
        <v>61179.15</v>
      </c>
      <c r="O22">
        <f t="shared" si="0"/>
        <v>1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0</v>
      </c>
      <c r="T22">
        <f t="shared" si="5"/>
        <v>0</v>
      </c>
    </row>
    <row r="23" spans="1:20">
      <c r="A23" s="2" t="s">
        <v>25</v>
      </c>
      <c r="B23" s="3">
        <v>45689</v>
      </c>
      <c r="C23" s="2" t="s">
        <v>20</v>
      </c>
      <c r="D23" s="2" t="s">
        <v>16</v>
      </c>
      <c r="E23" s="2">
        <v>33518.879999999997</v>
      </c>
      <c r="F23" s="2">
        <v>2121</v>
      </c>
      <c r="G23" s="2">
        <v>0.17599999999999999</v>
      </c>
      <c r="H23" s="2">
        <v>8</v>
      </c>
      <c r="I23" s="2">
        <v>88.5</v>
      </c>
      <c r="J23" s="2">
        <v>0.2</v>
      </c>
      <c r="K23" s="2">
        <v>0</v>
      </c>
      <c r="L23" s="2">
        <v>5</v>
      </c>
      <c r="M23" s="2">
        <v>491905.13</v>
      </c>
      <c r="N23" s="2">
        <v>79212.259999999995</v>
      </c>
      <c r="O23">
        <f t="shared" si="0"/>
        <v>1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0</v>
      </c>
    </row>
    <row r="24" spans="1:20">
      <c r="A24" s="2" t="s">
        <v>25</v>
      </c>
      <c r="B24" s="3">
        <v>45717</v>
      </c>
      <c r="C24" s="2" t="s">
        <v>20</v>
      </c>
      <c r="D24" s="2" t="s">
        <v>16</v>
      </c>
      <c r="E24" s="2">
        <v>42267.37</v>
      </c>
      <c r="F24" s="2">
        <v>3364</v>
      </c>
      <c r="G24" s="2">
        <v>0.16</v>
      </c>
      <c r="H24" s="2">
        <v>13</v>
      </c>
      <c r="I24" s="2">
        <v>82</v>
      </c>
      <c r="J24" s="2">
        <v>1.61</v>
      </c>
      <c r="K24" s="2">
        <v>1</v>
      </c>
      <c r="L24" s="2">
        <v>4.5999999999999996</v>
      </c>
      <c r="M24" s="2">
        <v>555929.4</v>
      </c>
      <c r="N24" s="2">
        <v>115201.76</v>
      </c>
      <c r="O24">
        <f t="shared" si="0"/>
        <v>1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</row>
    <row r="25" spans="1:20">
      <c r="A25" s="2" t="s">
        <v>25</v>
      </c>
      <c r="B25" s="3">
        <v>45748</v>
      </c>
      <c r="C25" s="2" t="s">
        <v>20</v>
      </c>
      <c r="D25" s="2" t="s">
        <v>16</v>
      </c>
      <c r="E25" s="2">
        <v>62060.43</v>
      </c>
      <c r="F25" s="2">
        <v>2613</v>
      </c>
      <c r="G25" s="2">
        <v>0.216</v>
      </c>
      <c r="H25" s="2">
        <v>12</v>
      </c>
      <c r="I25" s="2">
        <v>92.1</v>
      </c>
      <c r="J25" s="2">
        <v>1.55</v>
      </c>
      <c r="K25" s="2">
        <v>0</v>
      </c>
      <c r="L25" s="2">
        <v>4.7</v>
      </c>
      <c r="M25" s="2">
        <v>565810.99</v>
      </c>
      <c r="N25" s="2">
        <v>77825.460000000006</v>
      </c>
      <c r="O25">
        <f t="shared" si="0"/>
        <v>1</v>
      </c>
      <c r="P25">
        <f t="shared" si="1"/>
        <v>0</v>
      </c>
      <c r="Q25">
        <f t="shared" si="2"/>
        <v>0</v>
      </c>
      <c r="R25">
        <f t="shared" si="3"/>
        <v>0</v>
      </c>
      <c r="S25">
        <f t="shared" si="4"/>
        <v>0</v>
      </c>
      <c r="T25">
        <f t="shared" si="5"/>
        <v>0</v>
      </c>
    </row>
    <row r="26" spans="1:20">
      <c r="A26" s="2" t="s">
        <v>26</v>
      </c>
      <c r="B26" s="3">
        <v>45658</v>
      </c>
      <c r="C26" s="2" t="s">
        <v>27</v>
      </c>
      <c r="D26" s="2" t="s">
        <v>28</v>
      </c>
      <c r="E26" s="2">
        <v>57696.69</v>
      </c>
      <c r="F26" s="2">
        <v>10218</v>
      </c>
      <c r="G26" s="2">
        <v>0.121</v>
      </c>
      <c r="H26" s="2">
        <v>25</v>
      </c>
      <c r="I26" s="2">
        <v>94.8</v>
      </c>
      <c r="J26" s="2">
        <v>2.99</v>
      </c>
      <c r="K26" s="2">
        <v>0</v>
      </c>
      <c r="L26" s="2">
        <v>3.5</v>
      </c>
      <c r="M26" s="2">
        <v>811771.14</v>
      </c>
      <c r="N26" s="2">
        <v>148756.24</v>
      </c>
      <c r="O26">
        <f t="shared" si="0"/>
        <v>0</v>
      </c>
      <c r="P26">
        <f t="shared" si="1"/>
        <v>0</v>
      </c>
      <c r="Q26">
        <f t="shared" si="2"/>
        <v>1</v>
      </c>
      <c r="R26">
        <f t="shared" si="3"/>
        <v>0</v>
      </c>
      <c r="S26">
        <f t="shared" si="4"/>
        <v>0</v>
      </c>
      <c r="T26">
        <f t="shared" si="5"/>
        <v>1</v>
      </c>
    </row>
    <row r="27" spans="1:20">
      <c r="A27" s="2" t="s">
        <v>26</v>
      </c>
      <c r="B27" s="3">
        <v>45689</v>
      </c>
      <c r="C27" s="2" t="s">
        <v>27</v>
      </c>
      <c r="D27" s="2" t="s">
        <v>28</v>
      </c>
      <c r="E27" s="2">
        <v>172415.52</v>
      </c>
      <c r="F27" s="2">
        <v>8927</v>
      </c>
      <c r="G27" s="2">
        <v>0.14000000000000001</v>
      </c>
      <c r="H27" s="2">
        <v>22</v>
      </c>
      <c r="I27" s="2">
        <v>86.2</v>
      </c>
      <c r="J27" s="2">
        <v>7.04</v>
      </c>
      <c r="K27" s="2">
        <v>0</v>
      </c>
      <c r="L27" s="2">
        <v>3.9</v>
      </c>
      <c r="M27" s="2">
        <v>800451.94</v>
      </c>
      <c r="N27" s="2">
        <v>111572.29</v>
      </c>
      <c r="O27">
        <f t="shared" si="0"/>
        <v>0</v>
      </c>
      <c r="P27">
        <f t="shared" si="1"/>
        <v>0</v>
      </c>
      <c r="Q27">
        <f t="shared" si="2"/>
        <v>1</v>
      </c>
      <c r="R27">
        <f t="shared" si="3"/>
        <v>0</v>
      </c>
      <c r="S27">
        <f t="shared" si="4"/>
        <v>0</v>
      </c>
      <c r="T27">
        <f t="shared" si="5"/>
        <v>1</v>
      </c>
    </row>
    <row r="28" spans="1:20">
      <c r="A28" s="2" t="s">
        <v>26</v>
      </c>
      <c r="B28" s="3">
        <v>45717</v>
      </c>
      <c r="C28" s="2" t="s">
        <v>27</v>
      </c>
      <c r="D28" s="2" t="s">
        <v>28</v>
      </c>
      <c r="E28" s="2">
        <v>55270.52</v>
      </c>
      <c r="F28" s="2">
        <v>9315</v>
      </c>
      <c r="G28" s="2">
        <v>0.16900000000000001</v>
      </c>
      <c r="H28" s="2">
        <v>23</v>
      </c>
      <c r="I28" s="2">
        <v>91.9</v>
      </c>
      <c r="J28" s="2">
        <v>4.9400000000000004</v>
      </c>
      <c r="K28" s="2">
        <v>0</v>
      </c>
      <c r="L28" s="2">
        <v>4</v>
      </c>
      <c r="M28" s="2">
        <v>783672.82</v>
      </c>
      <c r="N28" s="2">
        <v>112577.14</v>
      </c>
      <c r="O28">
        <f t="shared" si="0"/>
        <v>0</v>
      </c>
      <c r="P28">
        <f t="shared" si="1"/>
        <v>0</v>
      </c>
      <c r="Q28">
        <f t="shared" si="2"/>
        <v>1</v>
      </c>
      <c r="R28">
        <f t="shared" si="3"/>
        <v>0</v>
      </c>
      <c r="S28">
        <f t="shared" si="4"/>
        <v>0</v>
      </c>
      <c r="T28">
        <f t="shared" si="5"/>
        <v>1</v>
      </c>
    </row>
    <row r="29" spans="1:20">
      <c r="A29" s="2" t="s">
        <v>26</v>
      </c>
      <c r="B29" s="3">
        <v>45748</v>
      </c>
      <c r="C29" s="2" t="s">
        <v>27</v>
      </c>
      <c r="D29" s="2" t="s">
        <v>28</v>
      </c>
      <c r="E29" s="2">
        <v>52715.1</v>
      </c>
      <c r="F29" s="2">
        <v>7223</v>
      </c>
      <c r="G29" s="2">
        <v>0.122</v>
      </c>
      <c r="H29" s="2">
        <v>16</v>
      </c>
      <c r="I29" s="2">
        <v>84.2</v>
      </c>
      <c r="J29" s="2">
        <v>16.149999999999999</v>
      </c>
      <c r="K29" s="2">
        <v>0</v>
      </c>
      <c r="L29" s="2">
        <v>3.7</v>
      </c>
      <c r="M29" s="2">
        <v>701641.97</v>
      </c>
      <c r="N29" s="2">
        <v>106111.86</v>
      </c>
      <c r="O29">
        <f t="shared" si="0"/>
        <v>0</v>
      </c>
      <c r="P29">
        <f t="shared" si="1"/>
        <v>0</v>
      </c>
      <c r="Q29">
        <f t="shared" si="2"/>
        <v>1</v>
      </c>
      <c r="R29">
        <f t="shared" si="3"/>
        <v>0</v>
      </c>
      <c r="S29">
        <f t="shared" si="4"/>
        <v>0</v>
      </c>
      <c r="T29">
        <f t="shared" si="5"/>
        <v>1</v>
      </c>
    </row>
    <row r="30" spans="1:20">
      <c r="A30" s="2" t="s">
        <v>29</v>
      </c>
      <c r="B30" s="3">
        <v>45658</v>
      </c>
      <c r="C30" s="2" t="s">
        <v>15</v>
      </c>
      <c r="D30" s="2" t="s">
        <v>16</v>
      </c>
      <c r="E30" s="2">
        <v>68600.62</v>
      </c>
      <c r="F30" s="2">
        <v>3988</v>
      </c>
      <c r="G30" s="2">
        <v>0.124</v>
      </c>
      <c r="H30" s="2">
        <v>11</v>
      </c>
      <c r="I30" s="2">
        <v>85</v>
      </c>
      <c r="J30" s="2">
        <v>0.48</v>
      </c>
      <c r="K30" s="2">
        <v>0</v>
      </c>
      <c r="L30" s="2">
        <v>3.6</v>
      </c>
      <c r="M30" s="2">
        <v>511844.41</v>
      </c>
      <c r="N30" s="2">
        <v>72774.44</v>
      </c>
      <c r="O30">
        <f t="shared" si="0"/>
        <v>0</v>
      </c>
      <c r="P30">
        <f t="shared" si="1"/>
        <v>0</v>
      </c>
      <c r="Q30">
        <f t="shared" si="2"/>
        <v>0</v>
      </c>
      <c r="R30">
        <f t="shared" si="3"/>
        <v>0</v>
      </c>
      <c r="S30">
        <f t="shared" si="4"/>
        <v>0</v>
      </c>
      <c r="T30">
        <f t="shared" si="5"/>
        <v>0</v>
      </c>
    </row>
    <row r="31" spans="1:20">
      <c r="A31" s="2" t="s">
        <v>29</v>
      </c>
      <c r="B31" s="3">
        <v>45689</v>
      </c>
      <c r="C31" s="2" t="s">
        <v>15</v>
      </c>
      <c r="D31" s="2" t="s">
        <v>16</v>
      </c>
      <c r="E31" s="2">
        <v>63176.73</v>
      </c>
      <c r="F31" s="2">
        <v>2390</v>
      </c>
      <c r="G31" s="2">
        <v>0.216</v>
      </c>
      <c r="H31" s="2">
        <v>9</v>
      </c>
      <c r="I31" s="2">
        <v>87.5</v>
      </c>
      <c r="J31" s="2">
        <v>0.31</v>
      </c>
      <c r="K31" s="2">
        <v>0</v>
      </c>
      <c r="L31" s="2">
        <v>3.1</v>
      </c>
      <c r="M31" s="2">
        <v>537383.79</v>
      </c>
      <c r="N31" s="2">
        <v>63773.27</v>
      </c>
      <c r="O31">
        <f t="shared" si="0"/>
        <v>0</v>
      </c>
      <c r="P31">
        <f t="shared" si="1"/>
        <v>0</v>
      </c>
      <c r="Q31">
        <f t="shared" si="2"/>
        <v>0</v>
      </c>
      <c r="R31">
        <f t="shared" si="3"/>
        <v>0</v>
      </c>
      <c r="S31">
        <f t="shared" si="4"/>
        <v>0</v>
      </c>
      <c r="T31">
        <f t="shared" si="5"/>
        <v>0</v>
      </c>
    </row>
    <row r="32" spans="1:20">
      <c r="A32" s="2" t="s">
        <v>29</v>
      </c>
      <c r="B32" s="3">
        <v>45717</v>
      </c>
      <c r="C32" s="2" t="s">
        <v>15</v>
      </c>
      <c r="D32" s="2" t="s">
        <v>16</v>
      </c>
      <c r="E32" s="2">
        <v>44970.080000000002</v>
      </c>
      <c r="F32" s="2">
        <v>2471</v>
      </c>
      <c r="G32" s="2">
        <v>0.13600000000000001</v>
      </c>
      <c r="H32" s="2">
        <v>11</v>
      </c>
      <c r="I32" s="2">
        <v>87.6</v>
      </c>
      <c r="J32" s="2">
        <v>3.01</v>
      </c>
      <c r="K32" s="2">
        <v>1</v>
      </c>
      <c r="L32" s="2">
        <v>3.7</v>
      </c>
      <c r="M32" s="2">
        <v>500173.02</v>
      </c>
      <c r="N32" s="2">
        <v>70982.05</v>
      </c>
      <c r="O32">
        <f t="shared" si="0"/>
        <v>0</v>
      </c>
      <c r="P32">
        <f t="shared" si="1"/>
        <v>0</v>
      </c>
      <c r="Q32">
        <f t="shared" si="2"/>
        <v>0</v>
      </c>
      <c r="R32">
        <f t="shared" si="3"/>
        <v>0</v>
      </c>
      <c r="S32">
        <f t="shared" si="4"/>
        <v>0</v>
      </c>
      <c r="T32">
        <f t="shared" si="5"/>
        <v>0</v>
      </c>
    </row>
    <row r="33" spans="1:20">
      <c r="A33" s="2" t="s">
        <v>29</v>
      </c>
      <c r="B33" s="3">
        <v>45748</v>
      </c>
      <c r="C33" s="2" t="s">
        <v>15</v>
      </c>
      <c r="D33" s="2" t="s">
        <v>16</v>
      </c>
      <c r="E33" s="2">
        <v>69816.350000000006</v>
      </c>
      <c r="F33" s="2">
        <v>971</v>
      </c>
      <c r="G33" s="2">
        <v>0.16800000000000001</v>
      </c>
      <c r="H33" s="2">
        <v>5</v>
      </c>
      <c r="I33" s="2">
        <v>89.9</v>
      </c>
      <c r="J33" s="2">
        <v>12.15</v>
      </c>
      <c r="K33" s="2">
        <v>0</v>
      </c>
      <c r="L33" s="2">
        <v>3.6</v>
      </c>
      <c r="M33" s="2">
        <v>427917.38</v>
      </c>
      <c r="N33" s="2">
        <v>81824.31</v>
      </c>
      <c r="O33">
        <f t="shared" si="0"/>
        <v>0</v>
      </c>
      <c r="P33">
        <f t="shared" si="1"/>
        <v>0</v>
      </c>
      <c r="Q33">
        <f t="shared" si="2"/>
        <v>0</v>
      </c>
      <c r="R33">
        <f t="shared" si="3"/>
        <v>0</v>
      </c>
      <c r="S33">
        <f t="shared" si="4"/>
        <v>0</v>
      </c>
      <c r="T33">
        <f t="shared" si="5"/>
        <v>0</v>
      </c>
    </row>
    <row r="34" spans="1:20">
      <c r="A34" s="2" t="s">
        <v>30</v>
      </c>
      <c r="B34" s="3">
        <v>45658</v>
      </c>
      <c r="C34" s="2" t="s">
        <v>20</v>
      </c>
      <c r="D34" s="2" t="s">
        <v>16</v>
      </c>
      <c r="E34" s="2">
        <v>54597.83</v>
      </c>
      <c r="F34" s="2">
        <v>9429</v>
      </c>
      <c r="G34" s="2">
        <v>0.188</v>
      </c>
      <c r="H34" s="2">
        <v>21</v>
      </c>
      <c r="I34" s="2">
        <v>83.3</v>
      </c>
      <c r="J34" s="2">
        <v>11.71</v>
      </c>
      <c r="K34" s="2">
        <v>0</v>
      </c>
      <c r="L34" s="2">
        <v>4.2</v>
      </c>
      <c r="M34" s="2">
        <v>641865.03</v>
      </c>
      <c r="N34" s="2">
        <v>81342.58</v>
      </c>
      <c r="O34">
        <f t="shared" si="0"/>
        <v>1</v>
      </c>
      <c r="P34">
        <f t="shared" si="1"/>
        <v>0</v>
      </c>
      <c r="Q34">
        <f t="shared" si="2"/>
        <v>0</v>
      </c>
      <c r="R34">
        <f t="shared" si="3"/>
        <v>0</v>
      </c>
      <c r="S34">
        <f t="shared" si="4"/>
        <v>0</v>
      </c>
      <c r="T34">
        <f t="shared" si="5"/>
        <v>0</v>
      </c>
    </row>
    <row r="35" spans="1:20">
      <c r="A35" s="2" t="s">
        <v>30</v>
      </c>
      <c r="B35" s="3">
        <v>45689</v>
      </c>
      <c r="C35" s="2" t="s">
        <v>20</v>
      </c>
      <c r="D35" s="2" t="s">
        <v>16</v>
      </c>
      <c r="E35" s="2">
        <v>73771.91</v>
      </c>
      <c r="F35" s="2">
        <v>11695</v>
      </c>
      <c r="G35" s="2">
        <v>7.0000000000000007E-2</v>
      </c>
      <c r="H35" s="2">
        <v>25</v>
      </c>
      <c r="I35" s="2">
        <v>84.7</v>
      </c>
      <c r="J35" s="2">
        <v>0.62</v>
      </c>
      <c r="K35" s="2">
        <v>0</v>
      </c>
      <c r="L35" s="2"/>
      <c r="M35" s="2">
        <v>799477.76000000001</v>
      </c>
      <c r="N35" s="2">
        <v>164974.41</v>
      </c>
      <c r="O35">
        <f t="shared" si="0"/>
        <v>1</v>
      </c>
      <c r="P35">
        <f t="shared" si="1"/>
        <v>0</v>
      </c>
      <c r="Q35">
        <f t="shared" si="2"/>
        <v>0</v>
      </c>
      <c r="R35">
        <f t="shared" si="3"/>
        <v>0</v>
      </c>
      <c r="S35">
        <f t="shared" si="4"/>
        <v>0</v>
      </c>
      <c r="T35">
        <f t="shared" si="5"/>
        <v>0</v>
      </c>
    </row>
    <row r="36" spans="1:20">
      <c r="A36" s="2" t="s">
        <v>30</v>
      </c>
      <c r="B36" s="3">
        <v>45717</v>
      </c>
      <c r="C36" s="2" t="s">
        <v>20</v>
      </c>
      <c r="D36" s="2" t="s">
        <v>16</v>
      </c>
      <c r="E36" s="2">
        <v>74413.88</v>
      </c>
      <c r="F36" s="2">
        <v>9449</v>
      </c>
      <c r="G36" s="2">
        <v>3.9E-2</v>
      </c>
      <c r="H36" s="2">
        <v>23</v>
      </c>
      <c r="I36" s="2">
        <v>92.1</v>
      </c>
      <c r="J36" s="2">
        <v>2.12</v>
      </c>
      <c r="K36" s="2">
        <v>0</v>
      </c>
      <c r="L36" s="2">
        <v>3.5</v>
      </c>
      <c r="M36" s="2">
        <v>798952.17</v>
      </c>
      <c r="N36" s="2">
        <v>161499.04</v>
      </c>
      <c r="O36">
        <f t="shared" si="0"/>
        <v>1</v>
      </c>
      <c r="P36">
        <f t="shared" si="1"/>
        <v>0</v>
      </c>
      <c r="Q36">
        <f t="shared" si="2"/>
        <v>0</v>
      </c>
      <c r="R36">
        <f t="shared" si="3"/>
        <v>0</v>
      </c>
      <c r="S36">
        <f t="shared" si="4"/>
        <v>0</v>
      </c>
      <c r="T36">
        <f t="shared" si="5"/>
        <v>0</v>
      </c>
    </row>
    <row r="37" spans="1:20">
      <c r="A37" s="2" t="s">
        <v>30</v>
      </c>
      <c r="B37" s="3">
        <v>45748</v>
      </c>
      <c r="C37" s="2" t="s">
        <v>20</v>
      </c>
      <c r="D37" s="2" t="s">
        <v>16</v>
      </c>
      <c r="E37" s="2">
        <v>52483.77</v>
      </c>
      <c r="F37" s="2">
        <v>10453</v>
      </c>
      <c r="G37" s="2">
        <v>0.247</v>
      </c>
      <c r="H37" s="2">
        <v>25</v>
      </c>
      <c r="I37" s="2">
        <v>99</v>
      </c>
      <c r="J37" s="2">
        <v>6.31</v>
      </c>
      <c r="K37" s="2">
        <v>0</v>
      </c>
      <c r="L37" s="2">
        <v>3.6</v>
      </c>
      <c r="M37" s="2">
        <v>800979.78</v>
      </c>
      <c r="N37" s="2">
        <v>149242.26999999999</v>
      </c>
      <c r="O37">
        <f t="shared" si="0"/>
        <v>1</v>
      </c>
      <c r="P37">
        <f t="shared" si="1"/>
        <v>0</v>
      </c>
      <c r="Q37">
        <f t="shared" si="2"/>
        <v>0</v>
      </c>
      <c r="R37">
        <f t="shared" si="3"/>
        <v>0</v>
      </c>
      <c r="S37">
        <f t="shared" si="4"/>
        <v>0</v>
      </c>
      <c r="T37">
        <f t="shared" si="5"/>
        <v>0</v>
      </c>
    </row>
    <row r="38" spans="1:20">
      <c r="A38" s="2" t="s">
        <v>31</v>
      </c>
      <c r="B38" s="3">
        <v>45658</v>
      </c>
      <c r="C38" s="2" t="s">
        <v>20</v>
      </c>
      <c r="D38" s="2" t="s">
        <v>28</v>
      </c>
      <c r="E38" s="2">
        <v>75269.87</v>
      </c>
      <c r="F38" s="2">
        <v>8838</v>
      </c>
      <c r="G38" s="2">
        <v>9.1999999999999998E-2</v>
      </c>
      <c r="H38" s="2">
        <v>21</v>
      </c>
      <c r="I38" s="2">
        <v>83.1</v>
      </c>
      <c r="J38" s="2">
        <v>9.56</v>
      </c>
      <c r="K38" s="2">
        <v>1</v>
      </c>
      <c r="L38" s="2">
        <v>4.2</v>
      </c>
      <c r="M38" s="2">
        <v>820593.93</v>
      </c>
      <c r="N38" s="2">
        <v>115860.06</v>
      </c>
      <c r="O38">
        <f t="shared" si="0"/>
        <v>1</v>
      </c>
      <c r="P38">
        <f t="shared" si="1"/>
        <v>0</v>
      </c>
      <c r="Q38">
        <f t="shared" si="2"/>
        <v>0</v>
      </c>
      <c r="R38">
        <f t="shared" si="3"/>
        <v>0</v>
      </c>
      <c r="S38">
        <f t="shared" si="4"/>
        <v>0</v>
      </c>
      <c r="T38">
        <f t="shared" si="5"/>
        <v>1</v>
      </c>
    </row>
    <row r="39" spans="1:20">
      <c r="A39" s="2" t="s">
        <v>31</v>
      </c>
      <c r="B39" s="3">
        <v>45689</v>
      </c>
      <c r="C39" s="2" t="s">
        <v>20</v>
      </c>
      <c r="D39" s="2" t="s">
        <v>28</v>
      </c>
      <c r="E39" s="2">
        <v>61245.41</v>
      </c>
      <c r="F39" s="2">
        <v>8156</v>
      </c>
      <c r="G39" s="2">
        <v>0.156</v>
      </c>
      <c r="H39" s="2">
        <v>19</v>
      </c>
      <c r="I39" s="2">
        <v>92.9</v>
      </c>
      <c r="J39" s="2">
        <v>9.0500000000000007</v>
      </c>
      <c r="K39" s="2">
        <v>0</v>
      </c>
      <c r="L39" s="2">
        <v>3.8</v>
      </c>
      <c r="M39" s="2">
        <v>718330.53</v>
      </c>
      <c r="N39" s="2">
        <v>93247.9</v>
      </c>
      <c r="O39">
        <f t="shared" si="0"/>
        <v>1</v>
      </c>
      <c r="P39">
        <f t="shared" si="1"/>
        <v>0</v>
      </c>
      <c r="Q39">
        <f t="shared" si="2"/>
        <v>0</v>
      </c>
      <c r="R39">
        <f t="shared" si="3"/>
        <v>0</v>
      </c>
      <c r="S39">
        <f t="shared" si="4"/>
        <v>0</v>
      </c>
      <c r="T39">
        <f t="shared" si="5"/>
        <v>1</v>
      </c>
    </row>
    <row r="40" spans="1:20">
      <c r="A40" s="2" t="s">
        <v>31</v>
      </c>
      <c r="B40" s="3">
        <v>45717</v>
      </c>
      <c r="C40" s="2" t="s">
        <v>20</v>
      </c>
      <c r="D40" s="2" t="s">
        <v>28</v>
      </c>
      <c r="E40" s="2">
        <v>93381.26</v>
      </c>
      <c r="F40" s="2">
        <v>7562</v>
      </c>
      <c r="G40" s="2">
        <v>0.19800000000000001</v>
      </c>
      <c r="H40" s="2">
        <v>19</v>
      </c>
      <c r="I40" s="2">
        <v>82.9</v>
      </c>
      <c r="J40" s="2">
        <v>5.05</v>
      </c>
      <c r="K40" s="2">
        <v>0</v>
      </c>
      <c r="L40" s="2">
        <v>4</v>
      </c>
      <c r="M40" s="2">
        <v>736633.4</v>
      </c>
      <c r="N40" s="2">
        <v>115654.66</v>
      </c>
      <c r="O40">
        <f t="shared" si="0"/>
        <v>1</v>
      </c>
      <c r="P40">
        <f t="shared" si="1"/>
        <v>0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1</v>
      </c>
    </row>
    <row r="41" spans="1:20">
      <c r="A41" s="2" t="s">
        <v>31</v>
      </c>
      <c r="B41" s="3">
        <v>45748</v>
      </c>
      <c r="C41" s="2" t="s">
        <v>20</v>
      </c>
      <c r="D41" s="2" t="s">
        <v>28</v>
      </c>
      <c r="E41" s="2">
        <v>65012.19</v>
      </c>
      <c r="F41" s="2">
        <v>9598</v>
      </c>
      <c r="G41" s="2">
        <v>8.5000000000000006E-2</v>
      </c>
      <c r="H41" s="2">
        <v>24</v>
      </c>
      <c r="I41" s="2">
        <v>98.3</v>
      </c>
      <c r="J41" s="2">
        <v>0.89</v>
      </c>
      <c r="K41" s="2">
        <v>0</v>
      </c>
      <c r="L41" s="2">
        <v>3.8</v>
      </c>
      <c r="M41" s="2">
        <v>828623.85</v>
      </c>
      <c r="N41" s="2">
        <v>167320.51999999999</v>
      </c>
      <c r="O41">
        <f t="shared" si="0"/>
        <v>1</v>
      </c>
      <c r="P41">
        <f t="shared" si="1"/>
        <v>0</v>
      </c>
      <c r="Q41">
        <f t="shared" si="2"/>
        <v>0</v>
      </c>
      <c r="R41">
        <f t="shared" si="3"/>
        <v>0</v>
      </c>
      <c r="S41">
        <f t="shared" si="4"/>
        <v>0</v>
      </c>
      <c r="T41">
        <f t="shared" si="5"/>
        <v>1</v>
      </c>
    </row>
    <row r="42" spans="1:20">
      <c r="A42" s="2" t="s">
        <v>32</v>
      </c>
      <c r="B42" s="3">
        <v>45658</v>
      </c>
      <c r="C42" s="2" t="s">
        <v>15</v>
      </c>
      <c r="D42" s="2" t="s">
        <v>28</v>
      </c>
      <c r="E42" s="2">
        <v>40462.94</v>
      </c>
      <c r="F42" s="2">
        <v>3660</v>
      </c>
      <c r="G42" s="2">
        <v>0.218</v>
      </c>
      <c r="H42" s="2">
        <v>11</v>
      </c>
      <c r="I42" s="2">
        <v>95.2</v>
      </c>
      <c r="J42" s="2">
        <v>5.57</v>
      </c>
      <c r="K42" s="2">
        <v>0</v>
      </c>
      <c r="L42" s="2">
        <v>4.4000000000000004</v>
      </c>
      <c r="M42" s="2">
        <v>592195.85</v>
      </c>
      <c r="N42" s="2">
        <v>92291.56</v>
      </c>
      <c r="O42">
        <f t="shared" si="0"/>
        <v>0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1</v>
      </c>
    </row>
    <row r="43" spans="1:20">
      <c r="A43" s="2" t="s">
        <v>32</v>
      </c>
      <c r="B43" s="3">
        <v>45689</v>
      </c>
      <c r="C43" s="2" t="s">
        <v>15</v>
      </c>
      <c r="D43" s="2" t="s">
        <v>28</v>
      </c>
      <c r="E43" s="2">
        <v>46123.88</v>
      </c>
      <c r="F43" s="2">
        <v>3227</v>
      </c>
      <c r="G43" s="2">
        <v>0.14299999999999999</v>
      </c>
      <c r="H43" s="2">
        <v>10</v>
      </c>
      <c r="I43" s="2">
        <v>75.400000000000006</v>
      </c>
      <c r="J43" s="2">
        <v>1.06</v>
      </c>
      <c r="K43" s="2">
        <v>0</v>
      </c>
      <c r="L43" s="2">
        <v>4.4000000000000004</v>
      </c>
      <c r="M43" s="2">
        <v>532644.46</v>
      </c>
      <c r="N43" s="2">
        <v>60681.32</v>
      </c>
      <c r="O43">
        <f t="shared" si="0"/>
        <v>0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1</v>
      </c>
    </row>
    <row r="44" spans="1:20">
      <c r="A44" s="2" t="s">
        <v>32</v>
      </c>
      <c r="B44" s="3">
        <v>45717</v>
      </c>
      <c r="C44" s="2" t="s">
        <v>15</v>
      </c>
      <c r="D44" s="2" t="s">
        <v>28</v>
      </c>
      <c r="E44" s="2">
        <v>68077.539999999994</v>
      </c>
      <c r="F44" s="2">
        <v>3360</v>
      </c>
      <c r="G44" s="2">
        <v>0.128</v>
      </c>
      <c r="H44" s="2">
        <v>14</v>
      </c>
      <c r="I44" s="2">
        <v>88.2</v>
      </c>
      <c r="J44" s="2">
        <v>1.24</v>
      </c>
      <c r="K44" s="2">
        <v>1</v>
      </c>
      <c r="L44" s="2">
        <v>4</v>
      </c>
      <c r="M44" s="2">
        <v>657429.18000000005</v>
      </c>
      <c r="N44" s="2">
        <v>88919.74</v>
      </c>
      <c r="O44">
        <f t="shared" si="0"/>
        <v>0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1</v>
      </c>
    </row>
    <row r="45" spans="1:20">
      <c r="A45" s="2" t="s">
        <v>32</v>
      </c>
      <c r="B45" s="3">
        <v>45748</v>
      </c>
      <c r="C45" s="2" t="s">
        <v>15</v>
      </c>
      <c r="D45" s="2" t="s">
        <v>28</v>
      </c>
      <c r="E45" s="2">
        <v>64882.14</v>
      </c>
      <c r="F45" s="2">
        <v>3642</v>
      </c>
      <c r="G45" s="2">
        <v>1.9E-2</v>
      </c>
      <c r="H45" s="2">
        <v>13</v>
      </c>
      <c r="I45" s="2">
        <v>87.8</v>
      </c>
      <c r="J45" s="2">
        <v>4.5199999999999996</v>
      </c>
      <c r="K45" s="2">
        <v>0</v>
      </c>
      <c r="L45" s="2">
        <v>4.2</v>
      </c>
      <c r="M45" s="2">
        <v>605178</v>
      </c>
      <c r="N45" s="2">
        <v>106958.74</v>
      </c>
      <c r="O45">
        <f t="shared" si="0"/>
        <v>0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1</v>
      </c>
    </row>
    <row r="46" spans="1:20">
      <c r="A46" s="2" t="s">
        <v>33</v>
      </c>
      <c r="B46" s="3">
        <v>45658</v>
      </c>
      <c r="C46" s="2" t="s">
        <v>27</v>
      </c>
      <c r="D46" s="2" t="s">
        <v>16</v>
      </c>
      <c r="E46" s="2">
        <v>138855.51</v>
      </c>
      <c r="F46" s="2">
        <v>5145</v>
      </c>
      <c r="G46" s="2">
        <v>0.06</v>
      </c>
      <c r="H46" s="2">
        <v>17</v>
      </c>
      <c r="I46" s="2">
        <v>88.2</v>
      </c>
      <c r="J46" s="2">
        <v>9.58</v>
      </c>
      <c r="K46" s="2">
        <v>0</v>
      </c>
      <c r="L46" s="2">
        <v>3.2</v>
      </c>
      <c r="M46" s="2">
        <v>595467.6</v>
      </c>
      <c r="N46" s="2">
        <v>104276.46</v>
      </c>
      <c r="O46">
        <f t="shared" si="0"/>
        <v>0</v>
      </c>
      <c r="P46">
        <f t="shared" si="1"/>
        <v>0</v>
      </c>
      <c r="Q46">
        <f t="shared" si="2"/>
        <v>1</v>
      </c>
      <c r="R46">
        <f t="shared" si="3"/>
        <v>0</v>
      </c>
      <c r="S46">
        <f t="shared" si="4"/>
        <v>0</v>
      </c>
      <c r="T46">
        <f t="shared" si="5"/>
        <v>0</v>
      </c>
    </row>
    <row r="47" spans="1:20">
      <c r="A47" s="2" t="s">
        <v>33</v>
      </c>
      <c r="B47" s="3">
        <v>45689</v>
      </c>
      <c r="C47" s="2" t="s">
        <v>27</v>
      </c>
      <c r="D47" s="2" t="s">
        <v>16</v>
      </c>
      <c r="E47" s="2">
        <v>63630.21</v>
      </c>
      <c r="F47" s="2">
        <v>4460</v>
      </c>
      <c r="G47" s="2">
        <v>0.23499999999999999</v>
      </c>
      <c r="H47" s="2">
        <v>14</v>
      </c>
      <c r="I47" s="2">
        <v>98.6</v>
      </c>
      <c r="J47" s="2">
        <v>5.52</v>
      </c>
      <c r="K47" s="2">
        <v>0</v>
      </c>
      <c r="L47" s="2">
        <v>3.5</v>
      </c>
      <c r="M47" s="2">
        <v>599603.4</v>
      </c>
      <c r="N47" s="2">
        <v>112685.12</v>
      </c>
      <c r="O47">
        <f t="shared" si="0"/>
        <v>0</v>
      </c>
      <c r="P47">
        <f t="shared" si="1"/>
        <v>0</v>
      </c>
      <c r="Q47">
        <f t="shared" si="2"/>
        <v>1</v>
      </c>
      <c r="R47">
        <f t="shared" si="3"/>
        <v>0</v>
      </c>
      <c r="S47">
        <f t="shared" si="4"/>
        <v>0</v>
      </c>
      <c r="T47">
        <f t="shared" si="5"/>
        <v>0</v>
      </c>
    </row>
    <row r="48" spans="1:20">
      <c r="A48" s="2" t="s">
        <v>33</v>
      </c>
      <c r="B48" s="3">
        <v>45717</v>
      </c>
      <c r="C48" s="2" t="s">
        <v>27</v>
      </c>
      <c r="D48" s="2" t="s">
        <v>16</v>
      </c>
      <c r="E48" s="2">
        <v>50043.65</v>
      </c>
      <c r="F48" s="2">
        <v>3804</v>
      </c>
      <c r="G48" s="2">
        <v>0.113</v>
      </c>
      <c r="H48" s="2">
        <v>11</v>
      </c>
      <c r="I48" s="2">
        <v>90.9</v>
      </c>
      <c r="J48" s="2">
        <v>2.7</v>
      </c>
      <c r="K48" s="2">
        <v>1</v>
      </c>
      <c r="L48" s="2">
        <v>3.2</v>
      </c>
      <c r="M48" s="2">
        <v>614800.09</v>
      </c>
      <c r="N48" s="2">
        <v>100044.2</v>
      </c>
      <c r="O48">
        <f t="shared" si="0"/>
        <v>0</v>
      </c>
      <c r="P48">
        <f t="shared" si="1"/>
        <v>0</v>
      </c>
      <c r="Q48">
        <f t="shared" si="2"/>
        <v>1</v>
      </c>
      <c r="R48">
        <f t="shared" si="3"/>
        <v>0</v>
      </c>
      <c r="S48">
        <f t="shared" si="4"/>
        <v>0</v>
      </c>
      <c r="T48">
        <f t="shared" si="5"/>
        <v>0</v>
      </c>
    </row>
    <row r="49" spans="1:20">
      <c r="A49" s="2" t="s">
        <v>33</v>
      </c>
      <c r="B49" s="3">
        <v>45748</v>
      </c>
      <c r="C49" s="2" t="s">
        <v>27</v>
      </c>
      <c r="D49" s="2" t="s">
        <v>16</v>
      </c>
      <c r="E49" s="2">
        <v>42093.84</v>
      </c>
      <c r="F49" s="2">
        <v>4074</v>
      </c>
      <c r="G49" s="2">
        <v>0.155</v>
      </c>
      <c r="H49" s="2">
        <v>15</v>
      </c>
      <c r="I49" s="2">
        <v>88</v>
      </c>
      <c r="J49" s="2">
        <v>9.64</v>
      </c>
      <c r="K49" s="2">
        <v>0</v>
      </c>
      <c r="L49" s="2">
        <v>3.3</v>
      </c>
      <c r="M49" s="2">
        <v>585365.73</v>
      </c>
      <c r="N49" s="2">
        <v>81011.520000000004</v>
      </c>
      <c r="O49">
        <f t="shared" si="0"/>
        <v>0</v>
      </c>
      <c r="P49">
        <f t="shared" si="1"/>
        <v>0</v>
      </c>
      <c r="Q49">
        <f t="shared" si="2"/>
        <v>1</v>
      </c>
      <c r="R49">
        <f t="shared" si="3"/>
        <v>0</v>
      </c>
      <c r="S49">
        <f t="shared" si="4"/>
        <v>0</v>
      </c>
      <c r="T49">
        <f t="shared" si="5"/>
        <v>0</v>
      </c>
    </row>
    <row r="50" spans="1:20">
      <c r="A50" s="2" t="s">
        <v>34</v>
      </c>
      <c r="B50" s="3">
        <v>45658</v>
      </c>
      <c r="C50" s="2" t="s">
        <v>20</v>
      </c>
      <c r="D50" s="2" t="s">
        <v>28</v>
      </c>
      <c r="E50" s="2">
        <v>46624.05</v>
      </c>
      <c r="F50" s="2">
        <v>5104</v>
      </c>
      <c r="G50" s="2">
        <v>0.109</v>
      </c>
      <c r="H50" s="2">
        <v>11</v>
      </c>
      <c r="I50" s="2">
        <v>97.3</v>
      </c>
      <c r="J50" s="2">
        <v>3.49</v>
      </c>
      <c r="K50" s="2">
        <v>1</v>
      </c>
      <c r="L50" s="2">
        <v>4.7</v>
      </c>
      <c r="M50" s="2">
        <v>622811.74</v>
      </c>
      <c r="N50" s="2">
        <v>109978.35</v>
      </c>
      <c r="O50">
        <f t="shared" si="0"/>
        <v>1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4"/>
        <v>0</v>
      </c>
      <c r="T50">
        <f t="shared" si="5"/>
        <v>1</v>
      </c>
    </row>
    <row r="51" spans="1:20">
      <c r="A51" s="2" t="s">
        <v>34</v>
      </c>
      <c r="B51" s="3">
        <v>45689</v>
      </c>
      <c r="C51" s="2" t="s">
        <v>20</v>
      </c>
      <c r="D51" s="2" t="s">
        <v>28</v>
      </c>
      <c r="E51" s="2">
        <v>49710.29</v>
      </c>
      <c r="F51" s="2">
        <v>5559</v>
      </c>
      <c r="G51" s="2">
        <v>0.218</v>
      </c>
      <c r="H51" s="2">
        <v>14</v>
      </c>
      <c r="I51" s="2">
        <v>71</v>
      </c>
      <c r="J51" s="2">
        <v>9.11</v>
      </c>
      <c r="K51" s="2">
        <v>0</v>
      </c>
      <c r="L51" s="2">
        <v>4.5999999999999996</v>
      </c>
      <c r="M51" s="2">
        <v>603297.56999999995</v>
      </c>
      <c r="N51" s="2">
        <v>60592.26</v>
      </c>
      <c r="O51">
        <f t="shared" si="0"/>
        <v>1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4"/>
        <v>0</v>
      </c>
      <c r="T51">
        <f t="shared" si="5"/>
        <v>1</v>
      </c>
    </row>
    <row r="52" spans="1:20">
      <c r="A52" s="2" t="s">
        <v>34</v>
      </c>
      <c r="B52" s="3">
        <v>45717</v>
      </c>
      <c r="C52" s="2" t="s">
        <v>20</v>
      </c>
      <c r="D52" s="2" t="s">
        <v>28</v>
      </c>
      <c r="E52" s="2">
        <v>48287.85</v>
      </c>
      <c r="F52" s="2">
        <v>5150</v>
      </c>
      <c r="G52" s="2">
        <v>8.0000000000000002E-3</v>
      </c>
      <c r="H52" s="2">
        <v>12</v>
      </c>
      <c r="I52" s="2">
        <v>80.400000000000006</v>
      </c>
      <c r="J52" s="2">
        <v>7.4</v>
      </c>
      <c r="K52" s="2">
        <v>0</v>
      </c>
      <c r="L52" s="2">
        <v>4.5</v>
      </c>
      <c r="M52" s="2">
        <v>625672.86</v>
      </c>
      <c r="N52" s="2">
        <v>118020.12</v>
      </c>
      <c r="O52">
        <f t="shared" si="0"/>
        <v>1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4"/>
        <v>0</v>
      </c>
      <c r="T52">
        <f t="shared" si="5"/>
        <v>1</v>
      </c>
    </row>
    <row r="53" spans="1:20">
      <c r="A53" s="2" t="s">
        <v>34</v>
      </c>
      <c r="B53" s="3">
        <v>45748</v>
      </c>
      <c r="C53" s="2" t="s">
        <v>20</v>
      </c>
      <c r="D53" s="2" t="s">
        <v>28</v>
      </c>
      <c r="E53" s="2">
        <v>65312.49</v>
      </c>
      <c r="F53" s="2">
        <v>7189</v>
      </c>
      <c r="G53" s="2">
        <v>0.05</v>
      </c>
      <c r="H53" s="2">
        <v>19</v>
      </c>
      <c r="I53" s="2">
        <v>93.7</v>
      </c>
      <c r="J53" s="2">
        <v>7.16</v>
      </c>
      <c r="K53" s="2">
        <v>0</v>
      </c>
      <c r="L53" s="2">
        <v>4.5999999999999996</v>
      </c>
      <c r="M53" s="2">
        <v>773815.14</v>
      </c>
      <c r="N53" s="2">
        <v>133948.39000000001</v>
      </c>
      <c r="O53">
        <f t="shared" si="0"/>
        <v>1</v>
      </c>
      <c r="P53">
        <f t="shared" si="1"/>
        <v>0</v>
      </c>
      <c r="Q53">
        <f t="shared" si="2"/>
        <v>0</v>
      </c>
      <c r="R53">
        <f t="shared" si="3"/>
        <v>0</v>
      </c>
      <c r="S53">
        <f t="shared" si="4"/>
        <v>0</v>
      </c>
      <c r="T53">
        <f t="shared" si="5"/>
        <v>1</v>
      </c>
    </row>
    <row r="54" spans="1:20">
      <c r="A54" s="2" t="s">
        <v>35</v>
      </c>
      <c r="B54" s="3">
        <v>45658</v>
      </c>
      <c r="C54" s="2" t="s">
        <v>27</v>
      </c>
      <c r="D54" s="2" t="s">
        <v>18</v>
      </c>
      <c r="E54" s="2">
        <v>53015.46</v>
      </c>
      <c r="F54" s="2">
        <v>3279</v>
      </c>
      <c r="G54" s="2">
        <v>8.6999999999999994E-2</v>
      </c>
      <c r="H54" s="2">
        <v>9</v>
      </c>
      <c r="I54" s="2">
        <v>84.3</v>
      </c>
      <c r="J54" s="2">
        <v>22.02</v>
      </c>
      <c r="K54" s="2">
        <v>0</v>
      </c>
      <c r="L54" s="2">
        <v>3.9</v>
      </c>
      <c r="M54" s="2">
        <v>463534.25</v>
      </c>
      <c r="N54" s="2">
        <v>81834.539999999994</v>
      </c>
      <c r="O54">
        <f t="shared" si="0"/>
        <v>0</v>
      </c>
      <c r="P54">
        <f t="shared" si="1"/>
        <v>0</v>
      </c>
      <c r="Q54">
        <f t="shared" si="2"/>
        <v>1</v>
      </c>
      <c r="R54">
        <f t="shared" si="3"/>
        <v>1</v>
      </c>
      <c r="S54">
        <f t="shared" si="4"/>
        <v>0</v>
      </c>
      <c r="T54">
        <f t="shared" si="5"/>
        <v>0</v>
      </c>
    </row>
    <row r="55" spans="1:20">
      <c r="A55" s="2" t="s">
        <v>35</v>
      </c>
      <c r="B55" s="3">
        <v>45689</v>
      </c>
      <c r="C55" s="2" t="s">
        <v>27</v>
      </c>
      <c r="D55" s="2" t="s">
        <v>18</v>
      </c>
      <c r="E55" s="2">
        <v>99874.01</v>
      </c>
      <c r="F55" s="2">
        <v>5887</v>
      </c>
      <c r="G55" s="2">
        <v>0.26200000000000001</v>
      </c>
      <c r="H55" s="2">
        <v>14</v>
      </c>
      <c r="I55" s="2">
        <v>88.7</v>
      </c>
      <c r="J55" s="2">
        <v>6.18</v>
      </c>
      <c r="K55" s="2">
        <v>0</v>
      </c>
      <c r="L55" s="2">
        <v>4.7</v>
      </c>
      <c r="M55" s="2">
        <v>746677.75</v>
      </c>
      <c r="N55" s="2">
        <v>122437.84</v>
      </c>
      <c r="O55">
        <f t="shared" si="0"/>
        <v>0</v>
      </c>
      <c r="P55">
        <f t="shared" si="1"/>
        <v>0</v>
      </c>
      <c r="Q55">
        <f t="shared" si="2"/>
        <v>1</v>
      </c>
      <c r="R55">
        <f t="shared" si="3"/>
        <v>1</v>
      </c>
      <c r="S55">
        <f t="shared" si="4"/>
        <v>0</v>
      </c>
      <c r="T55">
        <f t="shared" si="5"/>
        <v>0</v>
      </c>
    </row>
    <row r="56" spans="1:20">
      <c r="A56" s="2" t="s">
        <v>35</v>
      </c>
      <c r="B56" s="3">
        <v>45717</v>
      </c>
      <c r="C56" s="2" t="s">
        <v>27</v>
      </c>
      <c r="D56" s="2" t="s">
        <v>18</v>
      </c>
      <c r="E56" s="2">
        <v>81195.5</v>
      </c>
      <c r="F56" s="2">
        <v>5516</v>
      </c>
      <c r="G56" s="2">
        <v>0.106</v>
      </c>
      <c r="H56" s="2">
        <v>14</v>
      </c>
      <c r="I56" s="2">
        <v>88</v>
      </c>
      <c r="J56" s="2">
        <v>1.76</v>
      </c>
      <c r="K56" s="2">
        <v>0</v>
      </c>
      <c r="L56" s="2">
        <v>4.3</v>
      </c>
      <c r="M56" s="2">
        <v>720852.5</v>
      </c>
      <c r="N56" s="2">
        <v>98565.62</v>
      </c>
      <c r="O56">
        <f t="shared" si="0"/>
        <v>0</v>
      </c>
      <c r="P56">
        <f t="shared" si="1"/>
        <v>0</v>
      </c>
      <c r="Q56">
        <f t="shared" si="2"/>
        <v>1</v>
      </c>
      <c r="R56">
        <f t="shared" si="3"/>
        <v>1</v>
      </c>
      <c r="S56">
        <f t="shared" si="4"/>
        <v>0</v>
      </c>
      <c r="T56">
        <f t="shared" si="5"/>
        <v>0</v>
      </c>
    </row>
    <row r="57" spans="1:20">
      <c r="A57" s="2" t="s">
        <v>35</v>
      </c>
      <c r="B57" s="3">
        <v>45748</v>
      </c>
      <c r="C57" s="2" t="s">
        <v>27</v>
      </c>
      <c r="D57" s="2" t="s">
        <v>18</v>
      </c>
      <c r="E57" s="2">
        <v>27808.6</v>
      </c>
      <c r="F57" s="2">
        <v>2863</v>
      </c>
      <c r="G57" s="2">
        <v>0.08</v>
      </c>
      <c r="H57" s="2">
        <v>13</v>
      </c>
      <c r="I57" s="2">
        <v>89.3</v>
      </c>
      <c r="J57" s="2">
        <v>0.47</v>
      </c>
      <c r="K57" s="2">
        <v>0</v>
      </c>
      <c r="L57" s="2">
        <v>4.0999999999999996</v>
      </c>
      <c r="M57" s="2">
        <v>487464.91</v>
      </c>
      <c r="N57" s="2">
        <v>64562.26</v>
      </c>
      <c r="O57">
        <f t="shared" si="0"/>
        <v>0</v>
      </c>
      <c r="P57">
        <f t="shared" si="1"/>
        <v>0</v>
      </c>
      <c r="Q57">
        <f t="shared" si="2"/>
        <v>1</v>
      </c>
      <c r="R57">
        <f t="shared" si="3"/>
        <v>1</v>
      </c>
      <c r="S57">
        <f t="shared" si="4"/>
        <v>0</v>
      </c>
      <c r="T57">
        <f t="shared" si="5"/>
        <v>0</v>
      </c>
    </row>
    <row r="58" spans="1:20">
      <c r="A58" s="2" t="s">
        <v>36</v>
      </c>
      <c r="B58" s="3">
        <v>45658</v>
      </c>
      <c r="C58" s="2" t="s">
        <v>15</v>
      </c>
      <c r="D58" s="2" t="s">
        <v>21</v>
      </c>
      <c r="E58" s="2">
        <v>19365.060000000001</v>
      </c>
      <c r="F58" s="2">
        <v>2378</v>
      </c>
      <c r="G58" s="2">
        <v>0</v>
      </c>
      <c r="H58" s="2">
        <v>12</v>
      </c>
      <c r="I58" s="2">
        <v>94.8</v>
      </c>
      <c r="J58" s="2">
        <v>0.2</v>
      </c>
      <c r="K58" s="2">
        <v>0</v>
      </c>
      <c r="L58" s="2">
        <v>3.5</v>
      </c>
      <c r="M58" s="2">
        <v>518049.26</v>
      </c>
      <c r="N58" s="2">
        <v>108592.49</v>
      </c>
      <c r="O58">
        <f t="shared" si="0"/>
        <v>0</v>
      </c>
      <c r="P58">
        <f t="shared" si="1"/>
        <v>0</v>
      </c>
      <c r="Q58">
        <f t="shared" si="2"/>
        <v>0</v>
      </c>
      <c r="R58">
        <f t="shared" si="3"/>
        <v>0</v>
      </c>
      <c r="S58">
        <f t="shared" si="4"/>
        <v>1</v>
      </c>
      <c r="T58">
        <f t="shared" si="5"/>
        <v>0</v>
      </c>
    </row>
    <row r="59" spans="1:20">
      <c r="A59" s="2" t="s">
        <v>36</v>
      </c>
      <c r="B59" s="3">
        <v>45689</v>
      </c>
      <c r="C59" s="2" t="s">
        <v>15</v>
      </c>
      <c r="D59" s="2" t="s">
        <v>21</v>
      </c>
      <c r="E59" s="2">
        <v>59405.68</v>
      </c>
      <c r="F59" s="2">
        <v>2515</v>
      </c>
      <c r="G59" s="2">
        <v>3.9E-2</v>
      </c>
      <c r="H59" s="2">
        <v>12</v>
      </c>
      <c r="I59" s="2">
        <v>76</v>
      </c>
      <c r="J59" s="2">
        <v>5.1100000000000003</v>
      </c>
      <c r="K59" s="2">
        <v>0</v>
      </c>
      <c r="L59" s="2">
        <v>3.7</v>
      </c>
      <c r="M59" s="2">
        <v>500298.48</v>
      </c>
      <c r="N59" s="2">
        <v>73461.320000000007</v>
      </c>
      <c r="O59">
        <f t="shared" si="0"/>
        <v>0</v>
      </c>
      <c r="P59">
        <f t="shared" si="1"/>
        <v>0</v>
      </c>
      <c r="Q59">
        <f t="shared" si="2"/>
        <v>0</v>
      </c>
      <c r="R59">
        <f t="shared" si="3"/>
        <v>0</v>
      </c>
      <c r="S59">
        <f t="shared" si="4"/>
        <v>1</v>
      </c>
      <c r="T59">
        <f t="shared" si="5"/>
        <v>0</v>
      </c>
    </row>
    <row r="60" spans="1:20">
      <c r="A60" s="2" t="s">
        <v>36</v>
      </c>
      <c r="B60" s="3">
        <v>45717</v>
      </c>
      <c r="C60" s="2" t="s">
        <v>15</v>
      </c>
      <c r="D60" s="2" t="s">
        <v>21</v>
      </c>
      <c r="E60" s="2">
        <v>118910.48</v>
      </c>
      <c r="F60" s="2">
        <v>4022</v>
      </c>
      <c r="G60" s="2">
        <v>0.13700000000000001</v>
      </c>
      <c r="H60" s="2">
        <v>11</v>
      </c>
      <c r="I60" s="2">
        <v>87.1</v>
      </c>
      <c r="J60" s="2">
        <v>0.2</v>
      </c>
      <c r="K60" s="2">
        <v>0</v>
      </c>
      <c r="L60" s="2">
        <v>3.1</v>
      </c>
      <c r="M60" s="2">
        <v>617291.15</v>
      </c>
      <c r="N60" s="2">
        <v>117782</v>
      </c>
      <c r="O60">
        <f t="shared" si="0"/>
        <v>0</v>
      </c>
      <c r="P60">
        <f t="shared" si="1"/>
        <v>0</v>
      </c>
      <c r="Q60">
        <f t="shared" si="2"/>
        <v>0</v>
      </c>
      <c r="R60">
        <f t="shared" si="3"/>
        <v>0</v>
      </c>
      <c r="S60">
        <f t="shared" si="4"/>
        <v>1</v>
      </c>
      <c r="T60">
        <f t="shared" si="5"/>
        <v>0</v>
      </c>
    </row>
    <row r="61" spans="1:20">
      <c r="A61" s="2" t="s">
        <v>36</v>
      </c>
      <c r="B61" s="3">
        <v>45748</v>
      </c>
      <c r="C61" s="2" t="s">
        <v>15</v>
      </c>
      <c r="D61" s="2" t="s">
        <v>21</v>
      </c>
      <c r="E61" s="2">
        <v>52952.12</v>
      </c>
      <c r="F61" s="2">
        <v>4377</v>
      </c>
      <c r="G61" s="2">
        <v>9.1999999999999998E-2</v>
      </c>
      <c r="H61" s="2">
        <v>14</v>
      </c>
      <c r="I61" s="2">
        <v>88.6</v>
      </c>
      <c r="J61" s="2">
        <v>13.59</v>
      </c>
      <c r="K61" s="2">
        <v>0</v>
      </c>
      <c r="L61" s="2">
        <v>3.1</v>
      </c>
      <c r="M61" s="2">
        <v>553756.43000000005</v>
      </c>
      <c r="N61" s="2">
        <v>86166.77</v>
      </c>
      <c r="O61">
        <f t="shared" si="0"/>
        <v>0</v>
      </c>
      <c r="P61">
        <f t="shared" si="1"/>
        <v>0</v>
      </c>
      <c r="Q61">
        <f t="shared" si="2"/>
        <v>0</v>
      </c>
      <c r="R61">
        <f t="shared" si="3"/>
        <v>0</v>
      </c>
      <c r="S61">
        <f t="shared" si="4"/>
        <v>1</v>
      </c>
      <c r="T61">
        <f t="shared" si="5"/>
        <v>0</v>
      </c>
    </row>
    <row r="62" spans="1:20">
      <c r="A62" s="2" t="s">
        <v>37</v>
      </c>
      <c r="B62" s="3">
        <v>45658</v>
      </c>
      <c r="C62" s="2" t="s">
        <v>24</v>
      </c>
      <c r="D62" s="2" t="s">
        <v>18</v>
      </c>
      <c r="E62" s="2">
        <v>74907.98</v>
      </c>
      <c r="F62" s="2">
        <v>5306</v>
      </c>
      <c r="G62" s="2">
        <v>6.2E-2</v>
      </c>
      <c r="H62" s="2">
        <v>16</v>
      </c>
      <c r="I62" s="2">
        <v>95.6</v>
      </c>
      <c r="J62" s="2">
        <v>1.02</v>
      </c>
      <c r="K62" s="2">
        <v>0</v>
      </c>
      <c r="L62" s="2">
        <v>3.7</v>
      </c>
      <c r="M62" s="2">
        <v>749559.71</v>
      </c>
      <c r="N62" s="2">
        <v>144522.53</v>
      </c>
      <c r="O62">
        <f t="shared" si="0"/>
        <v>0</v>
      </c>
      <c r="P62">
        <f t="shared" si="1"/>
        <v>1</v>
      </c>
      <c r="Q62">
        <f t="shared" si="2"/>
        <v>0</v>
      </c>
      <c r="R62">
        <f t="shared" si="3"/>
        <v>1</v>
      </c>
      <c r="S62">
        <f t="shared" si="4"/>
        <v>0</v>
      </c>
      <c r="T62">
        <f t="shared" si="5"/>
        <v>0</v>
      </c>
    </row>
    <row r="63" spans="1:20">
      <c r="A63" s="2" t="s">
        <v>37</v>
      </c>
      <c r="B63" s="3">
        <v>45689</v>
      </c>
      <c r="C63" s="2" t="s">
        <v>24</v>
      </c>
      <c r="D63" s="2" t="s">
        <v>18</v>
      </c>
      <c r="E63" s="2">
        <v>37284.660000000003</v>
      </c>
      <c r="F63" s="2">
        <v>3928</v>
      </c>
      <c r="G63" s="2">
        <v>7.3999999999999996E-2</v>
      </c>
      <c r="H63" s="2">
        <v>12</v>
      </c>
      <c r="I63" s="2">
        <v>86.5</v>
      </c>
      <c r="J63" s="2">
        <v>1.64</v>
      </c>
      <c r="K63" s="2">
        <v>0</v>
      </c>
      <c r="L63" s="2">
        <v>3.8</v>
      </c>
      <c r="M63" s="2">
        <v>615966.48</v>
      </c>
      <c r="N63" s="2">
        <v>91509.38</v>
      </c>
      <c r="O63">
        <f t="shared" si="0"/>
        <v>0</v>
      </c>
      <c r="P63">
        <f t="shared" si="1"/>
        <v>1</v>
      </c>
      <c r="Q63">
        <f t="shared" si="2"/>
        <v>0</v>
      </c>
      <c r="R63">
        <f t="shared" si="3"/>
        <v>1</v>
      </c>
      <c r="S63">
        <f t="shared" si="4"/>
        <v>0</v>
      </c>
      <c r="T63">
        <f t="shared" si="5"/>
        <v>0</v>
      </c>
    </row>
    <row r="64" spans="1:20">
      <c r="A64" s="2" t="s">
        <v>37</v>
      </c>
      <c r="B64" s="3">
        <v>45717</v>
      </c>
      <c r="C64" s="2" t="s">
        <v>24</v>
      </c>
      <c r="D64" s="2" t="s">
        <v>18</v>
      </c>
      <c r="E64" s="2">
        <v>50343.19</v>
      </c>
      <c r="F64" s="2">
        <v>3845</v>
      </c>
      <c r="G64" s="2">
        <v>0.113</v>
      </c>
      <c r="H64" s="2">
        <v>9</v>
      </c>
      <c r="I64" s="2">
        <v>88.7</v>
      </c>
      <c r="J64" s="2">
        <v>5.15</v>
      </c>
      <c r="K64" s="2">
        <v>0</v>
      </c>
      <c r="L64" s="2">
        <v>3.3</v>
      </c>
      <c r="M64" s="2">
        <v>572011.19999999995</v>
      </c>
      <c r="N64" s="2">
        <v>101409.68</v>
      </c>
      <c r="O64">
        <f t="shared" si="0"/>
        <v>0</v>
      </c>
      <c r="P64">
        <f t="shared" si="1"/>
        <v>1</v>
      </c>
      <c r="Q64">
        <f t="shared" si="2"/>
        <v>0</v>
      </c>
      <c r="R64">
        <f t="shared" si="3"/>
        <v>1</v>
      </c>
      <c r="S64">
        <f t="shared" si="4"/>
        <v>0</v>
      </c>
      <c r="T64">
        <f t="shared" si="5"/>
        <v>0</v>
      </c>
    </row>
    <row r="65" spans="1:20">
      <c r="A65" s="2" t="s">
        <v>37</v>
      </c>
      <c r="B65" s="3">
        <v>45748</v>
      </c>
      <c r="C65" s="2" t="s">
        <v>24</v>
      </c>
      <c r="D65" s="2" t="s">
        <v>18</v>
      </c>
      <c r="E65" s="2">
        <v>74954.47</v>
      </c>
      <c r="F65" s="2">
        <v>6620</v>
      </c>
      <c r="G65" s="2">
        <v>5.3999999999999999E-2</v>
      </c>
      <c r="H65" s="2">
        <v>17</v>
      </c>
      <c r="I65" s="2">
        <v>91.1</v>
      </c>
      <c r="J65" s="2">
        <v>1.1100000000000001</v>
      </c>
      <c r="K65" s="2">
        <v>0</v>
      </c>
      <c r="L65" s="2">
        <v>3.5</v>
      </c>
      <c r="M65" s="2">
        <v>761860.19</v>
      </c>
      <c r="N65" s="2">
        <v>133279.38</v>
      </c>
      <c r="O65">
        <f t="shared" si="0"/>
        <v>0</v>
      </c>
      <c r="P65">
        <f t="shared" si="1"/>
        <v>1</v>
      </c>
      <c r="Q65">
        <f t="shared" si="2"/>
        <v>0</v>
      </c>
      <c r="R65">
        <f t="shared" si="3"/>
        <v>1</v>
      </c>
      <c r="S65">
        <f t="shared" si="4"/>
        <v>0</v>
      </c>
      <c r="T65">
        <f t="shared" si="5"/>
        <v>0</v>
      </c>
    </row>
    <row r="66" spans="1:20">
      <c r="A66" s="2" t="s">
        <v>38</v>
      </c>
      <c r="B66" s="3">
        <v>45658</v>
      </c>
      <c r="C66" s="2" t="s">
        <v>27</v>
      </c>
      <c r="D66" s="2" t="s">
        <v>18</v>
      </c>
      <c r="E66" s="2">
        <v>70040.31</v>
      </c>
      <c r="F66" s="2">
        <v>9175</v>
      </c>
      <c r="G66" s="2">
        <v>0.107</v>
      </c>
      <c r="H66" s="2">
        <v>23</v>
      </c>
      <c r="I66" s="2">
        <v>95.1</v>
      </c>
      <c r="J66" s="2">
        <v>6.08</v>
      </c>
      <c r="K66" s="2">
        <v>1</v>
      </c>
      <c r="L66" s="2">
        <v>3.4</v>
      </c>
      <c r="M66" s="2">
        <v>784502.68</v>
      </c>
      <c r="N66" s="2">
        <v>129519.72</v>
      </c>
      <c r="O66">
        <f t="shared" si="0"/>
        <v>0</v>
      </c>
      <c r="P66">
        <f t="shared" si="1"/>
        <v>0</v>
      </c>
      <c r="Q66">
        <f t="shared" si="2"/>
        <v>1</v>
      </c>
      <c r="R66">
        <f t="shared" si="3"/>
        <v>1</v>
      </c>
      <c r="S66">
        <f t="shared" si="4"/>
        <v>0</v>
      </c>
      <c r="T66">
        <f t="shared" si="5"/>
        <v>0</v>
      </c>
    </row>
    <row r="67" spans="1:20">
      <c r="A67" s="2" t="s">
        <v>38</v>
      </c>
      <c r="B67" s="3">
        <v>45689</v>
      </c>
      <c r="C67" s="2" t="s">
        <v>27</v>
      </c>
      <c r="D67" s="2" t="s">
        <v>18</v>
      </c>
      <c r="E67" s="2">
        <v>51148.69</v>
      </c>
      <c r="F67" s="2">
        <v>7940</v>
      </c>
      <c r="G67" s="2">
        <v>0.156</v>
      </c>
      <c r="H67" s="2">
        <v>18</v>
      </c>
      <c r="I67" s="2">
        <v>93.3</v>
      </c>
      <c r="J67" s="2">
        <v>10.91</v>
      </c>
      <c r="K67" s="2">
        <v>0</v>
      </c>
      <c r="L67" s="2">
        <v>3.6</v>
      </c>
      <c r="M67" s="2">
        <v>717141.55</v>
      </c>
      <c r="N67" s="2">
        <v>134013.60999999999</v>
      </c>
      <c r="O67">
        <f t="shared" ref="O67:O130" si="6">IF($C67="North", 1, 0)</f>
        <v>0</v>
      </c>
      <c r="P67">
        <f t="shared" ref="P67:P130" si="7">IF($C67="South", 1, 0)</f>
        <v>0</v>
      </c>
      <c r="Q67">
        <f t="shared" ref="Q67:Q130" si="8">IF($C67="West", 1, 0)</f>
        <v>1</v>
      </c>
      <c r="R67">
        <f t="shared" ref="R67:R130" si="9">IF($D67="High Street", 1, 0)</f>
        <v>1</v>
      </c>
      <c r="S67">
        <f t="shared" ref="S67:S130" si="10">IF($D67="Airport", 1, 0)</f>
        <v>0</v>
      </c>
      <c r="T67">
        <f t="shared" ref="T67:T130" si="11">IF($D67="Mall", 1, 0)</f>
        <v>0</v>
      </c>
    </row>
    <row r="68" spans="1:20">
      <c r="A68" s="2" t="s">
        <v>38</v>
      </c>
      <c r="B68" s="3">
        <v>45717</v>
      </c>
      <c r="C68" s="2" t="s">
        <v>27</v>
      </c>
      <c r="D68" s="2" t="s">
        <v>18</v>
      </c>
      <c r="E68" s="2">
        <v>79346.100000000006</v>
      </c>
      <c r="F68" s="2">
        <v>9628</v>
      </c>
      <c r="G68" s="2">
        <v>0.10199999999999999</v>
      </c>
      <c r="H68" s="2">
        <v>20</v>
      </c>
      <c r="I68" s="2">
        <v>99</v>
      </c>
      <c r="J68" s="2">
        <v>19.010000000000002</v>
      </c>
      <c r="K68" s="2">
        <v>1</v>
      </c>
      <c r="L68" s="2">
        <v>3.2</v>
      </c>
      <c r="M68" s="2">
        <v>685379.08</v>
      </c>
      <c r="N68" s="2">
        <v>106898.82</v>
      </c>
      <c r="O68">
        <f t="shared" si="6"/>
        <v>0</v>
      </c>
      <c r="P68">
        <f t="shared" si="7"/>
        <v>0</v>
      </c>
      <c r="Q68">
        <f t="shared" si="8"/>
        <v>1</v>
      </c>
      <c r="R68">
        <f t="shared" si="9"/>
        <v>1</v>
      </c>
      <c r="S68">
        <f t="shared" si="10"/>
        <v>0</v>
      </c>
      <c r="T68">
        <f t="shared" si="11"/>
        <v>0</v>
      </c>
    </row>
    <row r="69" spans="1:20">
      <c r="A69" s="2" t="s">
        <v>38</v>
      </c>
      <c r="B69" s="3">
        <v>45748</v>
      </c>
      <c r="C69" s="2" t="s">
        <v>27</v>
      </c>
      <c r="D69" s="2" t="s">
        <v>18</v>
      </c>
      <c r="E69" s="2">
        <v>42018.400000000001</v>
      </c>
      <c r="F69" s="2">
        <v>8296</v>
      </c>
      <c r="G69" s="2">
        <v>0.115</v>
      </c>
      <c r="H69" s="2">
        <v>17</v>
      </c>
      <c r="I69" s="2">
        <v>91.8</v>
      </c>
      <c r="J69" s="2">
        <v>0.77</v>
      </c>
      <c r="K69" s="2">
        <v>0</v>
      </c>
      <c r="L69" s="2">
        <v>3.4</v>
      </c>
      <c r="M69" s="2">
        <v>740496.65</v>
      </c>
      <c r="N69" s="2">
        <v>128020.9</v>
      </c>
      <c r="O69">
        <f t="shared" si="6"/>
        <v>0</v>
      </c>
      <c r="P69">
        <f t="shared" si="7"/>
        <v>0</v>
      </c>
      <c r="Q69">
        <f t="shared" si="8"/>
        <v>1</v>
      </c>
      <c r="R69">
        <f t="shared" si="9"/>
        <v>1</v>
      </c>
      <c r="S69">
        <f t="shared" si="10"/>
        <v>0</v>
      </c>
      <c r="T69">
        <f t="shared" si="11"/>
        <v>0</v>
      </c>
    </row>
    <row r="70" spans="1:20">
      <c r="A70" s="2" t="s">
        <v>39</v>
      </c>
      <c r="B70" s="3">
        <v>45658</v>
      </c>
      <c r="C70" s="2" t="s">
        <v>15</v>
      </c>
      <c r="D70" s="2" t="s">
        <v>18</v>
      </c>
      <c r="E70" s="2">
        <v>70937.240000000005</v>
      </c>
      <c r="F70" s="2">
        <v>3595</v>
      </c>
      <c r="G70" s="2">
        <v>0.14099999999999999</v>
      </c>
      <c r="H70" s="2">
        <v>11</v>
      </c>
      <c r="I70" s="2">
        <v>88.9</v>
      </c>
      <c r="J70" s="2">
        <v>2.83</v>
      </c>
      <c r="K70" s="2">
        <v>1</v>
      </c>
      <c r="L70" s="2">
        <v>3.3</v>
      </c>
      <c r="M70" s="2">
        <v>661927.14</v>
      </c>
      <c r="N70" s="2">
        <v>79218.570000000007</v>
      </c>
      <c r="O70">
        <f t="shared" si="6"/>
        <v>0</v>
      </c>
      <c r="P70">
        <f t="shared" si="7"/>
        <v>0</v>
      </c>
      <c r="Q70">
        <f t="shared" si="8"/>
        <v>0</v>
      </c>
      <c r="R70">
        <f t="shared" si="9"/>
        <v>1</v>
      </c>
      <c r="S70">
        <f t="shared" si="10"/>
        <v>0</v>
      </c>
      <c r="T70">
        <f t="shared" si="11"/>
        <v>0</v>
      </c>
    </row>
    <row r="71" spans="1:20">
      <c r="A71" s="2" t="s">
        <v>39</v>
      </c>
      <c r="B71" s="3">
        <v>45689</v>
      </c>
      <c r="C71" s="2" t="s">
        <v>15</v>
      </c>
      <c r="D71" s="2" t="s">
        <v>18</v>
      </c>
      <c r="E71" s="2">
        <v>36813.449999999997</v>
      </c>
      <c r="F71" s="2">
        <v>2834</v>
      </c>
      <c r="G71" s="2">
        <v>0.191</v>
      </c>
      <c r="H71" s="2">
        <v>11</v>
      </c>
      <c r="I71" s="2">
        <v>81.8</v>
      </c>
      <c r="J71" s="2">
        <v>2.33</v>
      </c>
      <c r="K71" s="2">
        <v>0</v>
      </c>
      <c r="L71" s="2">
        <v>3.3</v>
      </c>
      <c r="M71" s="2">
        <v>479050.5</v>
      </c>
      <c r="N71" s="2">
        <v>53651.11</v>
      </c>
      <c r="O71">
        <f t="shared" si="6"/>
        <v>0</v>
      </c>
      <c r="P71">
        <f t="shared" si="7"/>
        <v>0</v>
      </c>
      <c r="Q71">
        <f t="shared" si="8"/>
        <v>0</v>
      </c>
      <c r="R71">
        <f t="shared" si="9"/>
        <v>1</v>
      </c>
      <c r="S71">
        <f t="shared" si="10"/>
        <v>0</v>
      </c>
      <c r="T71">
        <f t="shared" si="11"/>
        <v>0</v>
      </c>
    </row>
    <row r="72" spans="1:20">
      <c r="A72" s="2" t="s">
        <v>39</v>
      </c>
      <c r="B72" s="3">
        <v>45717</v>
      </c>
      <c r="C72" s="2" t="s">
        <v>15</v>
      </c>
      <c r="D72" s="2" t="s">
        <v>18</v>
      </c>
      <c r="E72" s="2">
        <v>60571.82</v>
      </c>
      <c r="F72" s="2">
        <v>3193</v>
      </c>
      <c r="G72" s="2">
        <v>0.19700000000000001</v>
      </c>
      <c r="H72" s="2">
        <v>7</v>
      </c>
      <c r="I72" s="2">
        <v>99</v>
      </c>
      <c r="J72" s="2">
        <v>1.43</v>
      </c>
      <c r="K72" s="2">
        <v>0</v>
      </c>
      <c r="L72" s="2">
        <v>3.2</v>
      </c>
      <c r="M72" s="2">
        <v>605023.87</v>
      </c>
      <c r="N72" s="2">
        <v>98545.81</v>
      </c>
      <c r="O72">
        <f t="shared" si="6"/>
        <v>0</v>
      </c>
      <c r="P72">
        <f t="shared" si="7"/>
        <v>0</v>
      </c>
      <c r="Q72">
        <f t="shared" si="8"/>
        <v>0</v>
      </c>
      <c r="R72">
        <f t="shared" si="9"/>
        <v>1</v>
      </c>
      <c r="S72">
        <f t="shared" si="10"/>
        <v>0</v>
      </c>
      <c r="T72">
        <f t="shared" si="11"/>
        <v>0</v>
      </c>
    </row>
    <row r="73" spans="1:20">
      <c r="A73" s="2" t="s">
        <v>39</v>
      </c>
      <c r="B73" s="3">
        <v>45748</v>
      </c>
      <c r="C73" s="2" t="s">
        <v>15</v>
      </c>
      <c r="D73" s="2" t="s">
        <v>18</v>
      </c>
      <c r="E73" s="2">
        <v>55081.16</v>
      </c>
      <c r="F73" s="2">
        <v>5485</v>
      </c>
      <c r="G73" s="2">
        <v>3.5999999999999997E-2</v>
      </c>
      <c r="H73" s="2">
        <v>12</v>
      </c>
      <c r="I73" s="2">
        <v>88</v>
      </c>
      <c r="J73" s="2"/>
      <c r="K73" s="2">
        <v>0</v>
      </c>
      <c r="L73" s="2">
        <v>3.5</v>
      </c>
      <c r="M73" s="2">
        <v>674774.09</v>
      </c>
      <c r="N73" s="2">
        <v>141917.59</v>
      </c>
      <c r="O73">
        <f t="shared" si="6"/>
        <v>0</v>
      </c>
      <c r="P73">
        <f t="shared" si="7"/>
        <v>0</v>
      </c>
      <c r="Q73">
        <f t="shared" si="8"/>
        <v>0</v>
      </c>
      <c r="R73">
        <f t="shared" si="9"/>
        <v>1</v>
      </c>
      <c r="S73">
        <f t="shared" si="10"/>
        <v>0</v>
      </c>
      <c r="T73">
        <f t="shared" si="11"/>
        <v>0</v>
      </c>
    </row>
    <row r="74" spans="1:20">
      <c r="A74" s="2" t="s">
        <v>40</v>
      </c>
      <c r="B74" s="3">
        <v>45658</v>
      </c>
      <c r="C74" s="2" t="s">
        <v>15</v>
      </c>
      <c r="D74" s="2" t="s">
        <v>16</v>
      </c>
      <c r="E74" s="2">
        <v>46201.46</v>
      </c>
      <c r="F74" s="2">
        <v>5918</v>
      </c>
      <c r="G74" s="2">
        <v>0.27700000000000002</v>
      </c>
      <c r="H74" s="2">
        <v>13</v>
      </c>
      <c r="I74" s="2">
        <v>78.8</v>
      </c>
      <c r="J74" s="2">
        <v>4.91</v>
      </c>
      <c r="K74" s="2">
        <v>0</v>
      </c>
      <c r="L74" s="2">
        <v>4.5</v>
      </c>
      <c r="M74" s="2">
        <v>616069.41</v>
      </c>
      <c r="N74" s="2">
        <v>54453.99</v>
      </c>
      <c r="O74">
        <f t="shared" si="6"/>
        <v>0</v>
      </c>
      <c r="P74">
        <f t="shared" si="7"/>
        <v>0</v>
      </c>
      <c r="Q74">
        <f t="shared" si="8"/>
        <v>0</v>
      </c>
      <c r="R74">
        <f t="shared" si="9"/>
        <v>0</v>
      </c>
      <c r="S74">
        <f t="shared" si="10"/>
        <v>0</v>
      </c>
      <c r="T74">
        <f t="shared" si="11"/>
        <v>0</v>
      </c>
    </row>
    <row r="75" spans="1:20">
      <c r="A75" s="2" t="s">
        <v>40</v>
      </c>
      <c r="B75" s="3">
        <v>45689</v>
      </c>
      <c r="C75" s="2" t="s">
        <v>15</v>
      </c>
      <c r="D75" s="2" t="s">
        <v>16</v>
      </c>
      <c r="E75" s="2">
        <v>53762.92</v>
      </c>
      <c r="F75" s="2">
        <v>6821</v>
      </c>
      <c r="G75" s="2">
        <v>6.6000000000000003E-2</v>
      </c>
      <c r="H75" s="2">
        <v>19</v>
      </c>
      <c r="I75" s="2">
        <v>94.6</v>
      </c>
      <c r="J75" s="2">
        <v>7.03</v>
      </c>
      <c r="K75" s="2">
        <v>0</v>
      </c>
      <c r="L75" s="2">
        <v>4.4000000000000004</v>
      </c>
      <c r="M75" s="2">
        <v>630829.93999999994</v>
      </c>
      <c r="N75" s="2">
        <v>117090.02</v>
      </c>
      <c r="O75">
        <f t="shared" si="6"/>
        <v>0</v>
      </c>
      <c r="P75">
        <f t="shared" si="7"/>
        <v>0</v>
      </c>
      <c r="Q75">
        <f t="shared" si="8"/>
        <v>0</v>
      </c>
      <c r="R75">
        <f t="shared" si="9"/>
        <v>0</v>
      </c>
      <c r="S75">
        <f t="shared" si="10"/>
        <v>0</v>
      </c>
      <c r="T75">
        <f t="shared" si="11"/>
        <v>0</v>
      </c>
    </row>
    <row r="76" spans="1:20">
      <c r="A76" s="2" t="s">
        <v>40</v>
      </c>
      <c r="B76" s="3">
        <v>45717</v>
      </c>
      <c r="C76" s="2" t="s">
        <v>15</v>
      </c>
      <c r="D76" s="2" t="s">
        <v>16</v>
      </c>
      <c r="E76" s="2">
        <v>70144.78</v>
      </c>
      <c r="F76" s="2">
        <v>6806</v>
      </c>
      <c r="G76" s="2">
        <v>0.17799999999999999</v>
      </c>
      <c r="H76" s="2">
        <v>20</v>
      </c>
      <c r="I76" s="2">
        <v>93.1</v>
      </c>
      <c r="J76" s="2">
        <v>0.28000000000000003</v>
      </c>
      <c r="K76" s="2">
        <v>1</v>
      </c>
      <c r="L76" s="2">
        <v>4.3</v>
      </c>
      <c r="M76" s="2">
        <v>788087.68</v>
      </c>
      <c r="N76" s="2">
        <v>116803.42</v>
      </c>
      <c r="O76">
        <f t="shared" si="6"/>
        <v>0</v>
      </c>
      <c r="P76">
        <f t="shared" si="7"/>
        <v>0</v>
      </c>
      <c r="Q76">
        <f t="shared" si="8"/>
        <v>0</v>
      </c>
      <c r="R76">
        <f t="shared" si="9"/>
        <v>0</v>
      </c>
      <c r="S76">
        <f t="shared" si="10"/>
        <v>0</v>
      </c>
      <c r="T76">
        <f t="shared" si="11"/>
        <v>0</v>
      </c>
    </row>
    <row r="77" spans="1:20">
      <c r="A77" s="2" t="s">
        <v>40</v>
      </c>
      <c r="B77" s="3">
        <v>45748</v>
      </c>
      <c r="C77" s="2" t="s">
        <v>15</v>
      </c>
      <c r="D77" s="2" t="s">
        <v>16</v>
      </c>
      <c r="E77" s="2">
        <v>58749.63</v>
      </c>
      <c r="F77" s="2">
        <v>8252</v>
      </c>
      <c r="G77" s="2">
        <v>0.20300000000000001</v>
      </c>
      <c r="H77" s="2">
        <v>20</v>
      </c>
      <c r="I77" s="2">
        <v>85.2</v>
      </c>
      <c r="J77" s="2">
        <v>3.61</v>
      </c>
      <c r="K77" s="2">
        <v>0</v>
      </c>
      <c r="L77" s="2">
        <v>4.5</v>
      </c>
      <c r="M77" s="2">
        <v>680840.36</v>
      </c>
      <c r="N77" s="2">
        <v>68007.679999999993</v>
      </c>
      <c r="O77">
        <f t="shared" si="6"/>
        <v>0</v>
      </c>
      <c r="P77">
        <f t="shared" si="7"/>
        <v>0</v>
      </c>
      <c r="Q77">
        <f t="shared" si="8"/>
        <v>0</v>
      </c>
      <c r="R77">
        <f t="shared" si="9"/>
        <v>0</v>
      </c>
      <c r="S77">
        <f t="shared" si="10"/>
        <v>0</v>
      </c>
      <c r="T77">
        <f t="shared" si="11"/>
        <v>0</v>
      </c>
    </row>
    <row r="78" spans="1:20">
      <c r="A78" s="2" t="s">
        <v>41</v>
      </c>
      <c r="B78" s="3">
        <v>45658</v>
      </c>
      <c r="C78" s="2" t="s">
        <v>24</v>
      </c>
      <c r="D78" s="2" t="s">
        <v>18</v>
      </c>
      <c r="E78" s="2">
        <v>56973.18</v>
      </c>
      <c r="F78" s="2">
        <v>6662</v>
      </c>
      <c r="G78" s="2">
        <v>0.1</v>
      </c>
      <c r="H78" s="2">
        <v>15</v>
      </c>
      <c r="I78" s="2">
        <v>77.7</v>
      </c>
      <c r="J78" s="2">
        <v>7.52</v>
      </c>
      <c r="K78" s="2">
        <v>1</v>
      </c>
      <c r="L78" s="2">
        <v>3.2</v>
      </c>
      <c r="M78" s="2">
        <v>643657.47</v>
      </c>
      <c r="N78" s="2">
        <v>87022.45</v>
      </c>
      <c r="O78">
        <f t="shared" si="6"/>
        <v>0</v>
      </c>
      <c r="P78">
        <f t="shared" si="7"/>
        <v>1</v>
      </c>
      <c r="Q78">
        <f t="shared" si="8"/>
        <v>0</v>
      </c>
      <c r="R78">
        <f t="shared" si="9"/>
        <v>1</v>
      </c>
      <c r="S78">
        <f t="shared" si="10"/>
        <v>0</v>
      </c>
      <c r="T78">
        <f t="shared" si="11"/>
        <v>0</v>
      </c>
    </row>
    <row r="79" spans="1:20">
      <c r="A79" s="2" t="s">
        <v>41</v>
      </c>
      <c r="B79" s="3">
        <v>45689</v>
      </c>
      <c r="C79" s="2" t="s">
        <v>24</v>
      </c>
      <c r="D79" s="2" t="s">
        <v>18</v>
      </c>
      <c r="E79" s="2">
        <v>54872.82</v>
      </c>
      <c r="F79" s="2">
        <v>5962</v>
      </c>
      <c r="G79" s="2">
        <v>6.4000000000000001E-2</v>
      </c>
      <c r="H79" s="2">
        <v>12</v>
      </c>
      <c r="I79" s="2">
        <v>85.4</v>
      </c>
      <c r="J79" s="2">
        <v>2.58</v>
      </c>
      <c r="K79" s="2">
        <v>0</v>
      </c>
      <c r="L79" s="2">
        <v>2.9</v>
      </c>
      <c r="M79" s="2">
        <v>691112.6</v>
      </c>
      <c r="N79" s="2">
        <v>109212.83</v>
      </c>
      <c r="O79">
        <f t="shared" si="6"/>
        <v>0</v>
      </c>
      <c r="P79">
        <f t="shared" si="7"/>
        <v>1</v>
      </c>
      <c r="Q79">
        <f t="shared" si="8"/>
        <v>0</v>
      </c>
      <c r="R79">
        <f t="shared" si="9"/>
        <v>1</v>
      </c>
      <c r="S79">
        <f t="shared" si="10"/>
        <v>0</v>
      </c>
      <c r="T79">
        <f t="shared" si="11"/>
        <v>0</v>
      </c>
    </row>
    <row r="80" spans="1:20">
      <c r="A80" s="2" t="s">
        <v>41</v>
      </c>
      <c r="B80" s="3">
        <v>45717</v>
      </c>
      <c r="C80" s="2" t="s">
        <v>24</v>
      </c>
      <c r="D80" s="2" t="s">
        <v>18</v>
      </c>
      <c r="E80" s="2">
        <v>80562.81</v>
      </c>
      <c r="F80" s="2">
        <v>7470</v>
      </c>
      <c r="G80" s="2">
        <v>0.17199999999999999</v>
      </c>
      <c r="H80" s="2">
        <v>16</v>
      </c>
      <c r="I80" s="2">
        <v>83.5</v>
      </c>
      <c r="J80" s="2">
        <v>2.29</v>
      </c>
      <c r="K80" s="2">
        <v>0</v>
      </c>
      <c r="L80" s="2">
        <v>3.3</v>
      </c>
      <c r="M80" s="2">
        <v>776922.17</v>
      </c>
      <c r="N80" s="2">
        <v>150701.93</v>
      </c>
      <c r="O80">
        <f t="shared" si="6"/>
        <v>0</v>
      </c>
      <c r="P80">
        <f t="shared" si="7"/>
        <v>1</v>
      </c>
      <c r="Q80">
        <f t="shared" si="8"/>
        <v>0</v>
      </c>
      <c r="R80">
        <f t="shared" si="9"/>
        <v>1</v>
      </c>
      <c r="S80">
        <f t="shared" si="10"/>
        <v>0</v>
      </c>
      <c r="T80">
        <f t="shared" si="11"/>
        <v>0</v>
      </c>
    </row>
    <row r="81" spans="1:20">
      <c r="A81" s="2" t="s">
        <v>41</v>
      </c>
      <c r="B81" s="3">
        <v>45748</v>
      </c>
      <c r="C81" s="2" t="s">
        <v>24</v>
      </c>
      <c r="D81" s="2" t="s">
        <v>18</v>
      </c>
      <c r="E81" s="2">
        <v>77999.899999999994</v>
      </c>
      <c r="F81" s="2">
        <v>5974</v>
      </c>
      <c r="G81" s="2">
        <v>0.252</v>
      </c>
      <c r="H81" s="2">
        <v>14</v>
      </c>
      <c r="I81" s="2">
        <v>81.3</v>
      </c>
      <c r="J81" s="2">
        <v>2.39</v>
      </c>
      <c r="K81" s="2">
        <v>0</v>
      </c>
      <c r="L81" s="2">
        <v>3.2</v>
      </c>
      <c r="M81" s="2">
        <v>636561.34</v>
      </c>
      <c r="N81" s="2">
        <v>93861.06</v>
      </c>
      <c r="O81">
        <f t="shared" si="6"/>
        <v>0</v>
      </c>
      <c r="P81">
        <f t="shared" si="7"/>
        <v>1</v>
      </c>
      <c r="Q81">
        <f t="shared" si="8"/>
        <v>0</v>
      </c>
      <c r="R81">
        <f t="shared" si="9"/>
        <v>1</v>
      </c>
      <c r="S81">
        <f t="shared" si="10"/>
        <v>0</v>
      </c>
      <c r="T81">
        <f t="shared" si="11"/>
        <v>0</v>
      </c>
    </row>
    <row r="82" spans="1:20">
      <c r="A82" s="2" t="s">
        <v>42</v>
      </c>
      <c r="B82" s="3">
        <v>45658</v>
      </c>
      <c r="C82" s="2" t="s">
        <v>27</v>
      </c>
      <c r="D82" s="2" t="s">
        <v>28</v>
      </c>
      <c r="E82" s="2">
        <v>60881.01</v>
      </c>
      <c r="F82" s="2">
        <v>5410</v>
      </c>
      <c r="G82" s="2">
        <v>0.17899999999999999</v>
      </c>
      <c r="H82" s="2">
        <v>15</v>
      </c>
      <c r="I82" s="2">
        <v>83.9</v>
      </c>
      <c r="J82" s="2">
        <v>5.24</v>
      </c>
      <c r="K82" s="2">
        <v>0</v>
      </c>
      <c r="L82" s="2">
        <v>4.5999999999999996</v>
      </c>
      <c r="M82" s="2">
        <v>621369.57999999996</v>
      </c>
      <c r="N82" s="2">
        <v>85493.64</v>
      </c>
      <c r="O82">
        <f t="shared" si="6"/>
        <v>0</v>
      </c>
      <c r="P82">
        <f t="shared" si="7"/>
        <v>0</v>
      </c>
      <c r="Q82">
        <f t="shared" si="8"/>
        <v>1</v>
      </c>
      <c r="R82">
        <f t="shared" si="9"/>
        <v>0</v>
      </c>
      <c r="S82">
        <f t="shared" si="10"/>
        <v>0</v>
      </c>
      <c r="T82">
        <f t="shared" si="11"/>
        <v>1</v>
      </c>
    </row>
    <row r="83" spans="1:20">
      <c r="A83" s="2" t="s">
        <v>42</v>
      </c>
      <c r="B83" s="3">
        <v>45689</v>
      </c>
      <c r="C83" s="2" t="s">
        <v>27</v>
      </c>
      <c r="D83" s="2" t="s">
        <v>28</v>
      </c>
      <c r="E83" s="2">
        <v>60628.38</v>
      </c>
      <c r="F83" s="2">
        <v>4451</v>
      </c>
      <c r="G83" s="2">
        <v>9.5000000000000001E-2</v>
      </c>
      <c r="H83" s="2">
        <v>10</v>
      </c>
      <c r="I83" s="2">
        <v>89.6</v>
      </c>
      <c r="J83" s="2">
        <v>3.17</v>
      </c>
      <c r="K83" s="2">
        <v>0</v>
      </c>
      <c r="L83" s="2">
        <v>4.5999999999999996</v>
      </c>
      <c r="M83" s="2">
        <v>682208.01</v>
      </c>
      <c r="N83" s="2">
        <v>110318.84</v>
      </c>
      <c r="O83">
        <f t="shared" si="6"/>
        <v>0</v>
      </c>
      <c r="P83">
        <f t="shared" si="7"/>
        <v>0</v>
      </c>
      <c r="Q83">
        <f t="shared" si="8"/>
        <v>1</v>
      </c>
      <c r="R83">
        <f t="shared" si="9"/>
        <v>0</v>
      </c>
      <c r="S83">
        <f t="shared" si="10"/>
        <v>0</v>
      </c>
      <c r="T83">
        <f t="shared" si="11"/>
        <v>1</v>
      </c>
    </row>
    <row r="84" spans="1:20">
      <c r="A84" s="2" t="s">
        <v>42</v>
      </c>
      <c r="B84" s="3">
        <v>45717</v>
      </c>
      <c r="C84" s="2" t="s">
        <v>27</v>
      </c>
      <c r="D84" s="2" t="s">
        <v>28</v>
      </c>
      <c r="E84" s="2">
        <v>72731.14</v>
      </c>
      <c r="F84" s="2">
        <v>4644</v>
      </c>
      <c r="G84" s="2">
        <v>8.4000000000000005E-2</v>
      </c>
      <c r="H84" s="2">
        <v>15</v>
      </c>
      <c r="I84" s="2">
        <v>87.1</v>
      </c>
      <c r="J84" s="2">
        <v>2.66</v>
      </c>
      <c r="K84" s="2">
        <v>0</v>
      </c>
      <c r="L84" s="2">
        <v>4.5999999999999996</v>
      </c>
      <c r="M84" s="2">
        <v>727241.86</v>
      </c>
      <c r="N84" s="2">
        <v>155810.29999999999</v>
      </c>
      <c r="O84">
        <f t="shared" si="6"/>
        <v>0</v>
      </c>
      <c r="P84">
        <f t="shared" si="7"/>
        <v>0</v>
      </c>
      <c r="Q84">
        <f t="shared" si="8"/>
        <v>1</v>
      </c>
      <c r="R84">
        <f t="shared" si="9"/>
        <v>0</v>
      </c>
      <c r="S84">
        <f t="shared" si="10"/>
        <v>0</v>
      </c>
      <c r="T84">
        <f t="shared" si="11"/>
        <v>1</v>
      </c>
    </row>
    <row r="85" spans="1:20">
      <c r="A85" s="2" t="s">
        <v>42</v>
      </c>
      <c r="B85" s="3">
        <v>45748</v>
      </c>
      <c r="C85" s="2" t="s">
        <v>27</v>
      </c>
      <c r="D85" s="2" t="s">
        <v>28</v>
      </c>
      <c r="E85" s="2">
        <v>36475.71</v>
      </c>
      <c r="F85" s="2">
        <v>3559</v>
      </c>
      <c r="G85" s="2">
        <v>0.03</v>
      </c>
      <c r="H85" s="2">
        <v>8</v>
      </c>
      <c r="I85" s="2">
        <v>83.6</v>
      </c>
      <c r="J85" s="2">
        <v>1.41</v>
      </c>
      <c r="K85" s="2">
        <v>0</v>
      </c>
      <c r="L85" s="2">
        <v>4.2</v>
      </c>
      <c r="M85" s="2">
        <v>569100.78</v>
      </c>
      <c r="N85" s="2">
        <v>104808.78</v>
      </c>
      <c r="O85">
        <f t="shared" si="6"/>
        <v>0</v>
      </c>
      <c r="P85">
        <f t="shared" si="7"/>
        <v>0</v>
      </c>
      <c r="Q85">
        <f t="shared" si="8"/>
        <v>1</v>
      </c>
      <c r="R85">
        <f t="shared" si="9"/>
        <v>0</v>
      </c>
      <c r="S85">
        <f t="shared" si="10"/>
        <v>0</v>
      </c>
      <c r="T85">
        <f t="shared" si="11"/>
        <v>1</v>
      </c>
    </row>
    <row r="86" spans="1:20">
      <c r="A86" s="2" t="s">
        <v>43</v>
      </c>
      <c r="B86" s="3">
        <v>45658</v>
      </c>
      <c r="C86" s="2" t="s">
        <v>27</v>
      </c>
      <c r="D86" s="2" t="s">
        <v>18</v>
      </c>
      <c r="E86" s="2">
        <v>55388.11</v>
      </c>
      <c r="F86" s="2">
        <v>3091</v>
      </c>
      <c r="G86" s="2">
        <v>0.108</v>
      </c>
      <c r="H86" s="2">
        <v>7</v>
      </c>
      <c r="I86" s="2">
        <v>85.4</v>
      </c>
      <c r="J86" s="2">
        <v>7.34</v>
      </c>
      <c r="K86" s="2">
        <v>0</v>
      </c>
      <c r="L86" s="2">
        <v>4.9000000000000004</v>
      </c>
      <c r="M86" s="2">
        <v>574436.29</v>
      </c>
      <c r="N86" s="2">
        <v>80271.990000000005</v>
      </c>
      <c r="O86">
        <f t="shared" si="6"/>
        <v>0</v>
      </c>
      <c r="P86">
        <f t="shared" si="7"/>
        <v>0</v>
      </c>
      <c r="Q86">
        <f t="shared" si="8"/>
        <v>1</v>
      </c>
      <c r="R86">
        <f t="shared" si="9"/>
        <v>1</v>
      </c>
      <c r="S86">
        <f t="shared" si="10"/>
        <v>0</v>
      </c>
      <c r="T86">
        <f t="shared" si="11"/>
        <v>0</v>
      </c>
    </row>
    <row r="87" spans="1:20">
      <c r="A87" s="2" t="s">
        <v>43</v>
      </c>
      <c r="B87" s="3">
        <v>45689</v>
      </c>
      <c r="C87" s="2" t="s">
        <v>27</v>
      </c>
      <c r="D87" s="2" t="s">
        <v>18</v>
      </c>
      <c r="E87" s="2">
        <v>88443.77</v>
      </c>
      <c r="F87" s="2">
        <v>4004</v>
      </c>
      <c r="G87" s="2">
        <v>0.20599999999999999</v>
      </c>
      <c r="H87" s="2">
        <v>11</v>
      </c>
      <c r="I87" s="2">
        <v>91.9</v>
      </c>
      <c r="J87" s="2">
        <v>5.95</v>
      </c>
      <c r="K87" s="2">
        <v>0</v>
      </c>
      <c r="L87" s="2"/>
      <c r="M87" s="2">
        <v>611766.72</v>
      </c>
      <c r="N87" s="2">
        <v>88275.61</v>
      </c>
      <c r="O87">
        <f t="shared" si="6"/>
        <v>0</v>
      </c>
      <c r="P87">
        <f t="shared" si="7"/>
        <v>0</v>
      </c>
      <c r="Q87">
        <f t="shared" si="8"/>
        <v>1</v>
      </c>
      <c r="R87">
        <f t="shared" si="9"/>
        <v>1</v>
      </c>
      <c r="S87">
        <f t="shared" si="10"/>
        <v>0</v>
      </c>
      <c r="T87">
        <f t="shared" si="11"/>
        <v>0</v>
      </c>
    </row>
    <row r="88" spans="1:20">
      <c r="A88" s="2" t="s">
        <v>43</v>
      </c>
      <c r="B88" s="3">
        <v>45717</v>
      </c>
      <c r="C88" s="2" t="s">
        <v>27</v>
      </c>
      <c r="D88" s="2" t="s">
        <v>18</v>
      </c>
      <c r="E88" s="2">
        <v>78231.91</v>
      </c>
      <c r="F88" s="2">
        <v>3788</v>
      </c>
      <c r="G88" s="2">
        <v>5.8999999999999997E-2</v>
      </c>
      <c r="H88" s="2">
        <v>11</v>
      </c>
      <c r="I88" s="2">
        <v>88.5</v>
      </c>
      <c r="J88" s="2">
        <v>15.51</v>
      </c>
      <c r="K88" s="2">
        <v>0</v>
      </c>
      <c r="L88" s="2">
        <v>4.3</v>
      </c>
      <c r="M88" s="2">
        <v>614596.31999999995</v>
      </c>
      <c r="N88" s="2">
        <v>131199.41</v>
      </c>
      <c r="O88">
        <f t="shared" si="6"/>
        <v>0</v>
      </c>
      <c r="P88">
        <f t="shared" si="7"/>
        <v>0</v>
      </c>
      <c r="Q88">
        <f t="shared" si="8"/>
        <v>1</v>
      </c>
      <c r="R88">
        <f t="shared" si="9"/>
        <v>1</v>
      </c>
      <c r="S88">
        <f t="shared" si="10"/>
        <v>0</v>
      </c>
      <c r="T88">
        <f t="shared" si="11"/>
        <v>0</v>
      </c>
    </row>
    <row r="89" spans="1:20">
      <c r="A89" s="2" t="s">
        <v>43</v>
      </c>
      <c r="B89" s="3">
        <v>45748</v>
      </c>
      <c r="C89" s="2" t="s">
        <v>27</v>
      </c>
      <c r="D89" s="2" t="s">
        <v>18</v>
      </c>
      <c r="E89" s="2">
        <v>18996.32</v>
      </c>
      <c r="F89" s="2">
        <v>1260</v>
      </c>
      <c r="G89" s="2">
        <v>0.14499999999999999</v>
      </c>
      <c r="H89" s="2">
        <v>9</v>
      </c>
      <c r="I89" s="2">
        <v>86.4</v>
      </c>
      <c r="J89" s="2">
        <v>4.3099999999999996</v>
      </c>
      <c r="K89" s="2">
        <v>0</v>
      </c>
      <c r="L89" s="2">
        <v>4.5999999999999996</v>
      </c>
      <c r="M89" s="2">
        <v>450711.92</v>
      </c>
      <c r="N89" s="2">
        <v>90043.76</v>
      </c>
      <c r="O89">
        <f t="shared" si="6"/>
        <v>0</v>
      </c>
      <c r="P89">
        <f t="shared" si="7"/>
        <v>0</v>
      </c>
      <c r="Q89">
        <f t="shared" si="8"/>
        <v>1</v>
      </c>
      <c r="R89">
        <f t="shared" si="9"/>
        <v>1</v>
      </c>
      <c r="S89">
        <f t="shared" si="10"/>
        <v>0</v>
      </c>
      <c r="T89">
        <f t="shared" si="11"/>
        <v>0</v>
      </c>
    </row>
    <row r="90" spans="1:20">
      <c r="A90" s="2" t="s">
        <v>44</v>
      </c>
      <c r="B90" s="3">
        <v>45658</v>
      </c>
      <c r="C90" s="2" t="s">
        <v>24</v>
      </c>
      <c r="D90" s="2" t="s">
        <v>28</v>
      </c>
      <c r="E90" s="2">
        <v>50517.94</v>
      </c>
      <c r="F90" s="2">
        <v>7024</v>
      </c>
      <c r="G90" s="2">
        <v>2.9000000000000001E-2</v>
      </c>
      <c r="H90" s="2">
        <v>18</v>
      </c>
      <c r="I90" s="2">
        <v>79.2</v>
      </c>
      <c r="J90" s="2">
        <v>6.61</v>
      </c>
      <c r="K90" s="2">
        <v>1</v>
      </c>
      <c r="L90" s="2">
        <v>4.0999999999999996</v>
      </c>
      <c r="M90" s="2">
        <v>711213.46</v>
      </c>
      <c r="N90" s="2">
        <v>105863.26</v>
      </c>
      <c r="O90">
        <f t="shared" si="6"/>
        <v>0</v>
      </c>
      <c r="P90">
        <f t="shared" si="7"/>
        <v>1</v>
      </c>
      <c r="Q90">
        <f t="shared" si="8"/>
        <v>0</v>
      </c>
      <c r="R90">
        <f t="shared" si="9"/>
        <v>0</v>
      </c>
      <c r="S90">
        <f t="shared" si="10"/>
        <v>0</v>
      </c>
      <c r="T90">
        <f t="shared" si="11"/>
        <v>1</v>
      </c>
    </row>
    <row r="91" spans="1:20">
      <c r="A91" s="2" t="s">
        <v>44</v>
      </c>
      <c r="B91" s="3">
        <v>45689</v>
      </c>
      <c r="C91" s="2" t="s">
        <v>24</v>
      </c>
      <c r="D91" s="2" t="s">
        <v>28</v>
      </c>
      <c r="E91" s="2">
        <v>141540.29</v>
      </c>
      <c r="F91" s="2">
        <v>5400</v>
      </c>
      <c r="G91" s="2">
        <v>1.2999999999999999E-2</v>
      </c>
      <c r="H91" s="2">
        <v>12</v>
      </c>
      <c r="I91" s="2">
        <v>87</v>
      </c>
      <c r="J91" s="2">
        <v>4.26</v>
      </c>
      <c r="K91" s="2">
        <v>0</v>
      </c>
      <c r="L91" s="2">
        <v>4.5</v>
      </c>
      <c r="M91" s="2">
        <v>627171.9</v>
      </c>
      <c r="N91" s="2">
        <v>105772.75</v>
      </c>
      <c r="O91">
        <f t="shared" si="6"/>
        <v>0</v>
      </c>
      <c r="P91">
        <f t="shared" si="7"/>
        <v>1</v>
      </c>
      <c r="Q91">
        <f t="shared" si="8"/>
        <v>0</v>
      </c>
      <c r="R91">
        <f t="shared" si="9"/>
        <v>0</v>
      </c>
      <c r="S91">
        <f t="shared" si="10"/>
        <v>0</v>
      </c>
      <c r="T91">
        <f t="shared" si="11"/>
        <v>1</v>
      </c>
    </row>
    <row r="92" spans="1:20">
      <c r="A92" s="2" t="s">
        <v>44</v>
      </c>
      <c r="B92" s="3">
        <v>45717</v>
      </c>
      <c r="C92" s="2" t="s">
        <v>24</v>
      </c>
      <c r="D92" s="2" t="s">
        <v>28</v>
      </c>
      <c r="E92" s="2">
        <v>82116.19</v>
      </c>
      <c r="F92" s="2">
        <v>5988</v>
      </c>
      <c r="G92" s="2">
        <v>0.04</v>
      </c>
      <c r="H92" s="2">
        <v>17</v>
      </c>
      <c r="I92" s="2">
        <v>91.8</v>
      </c>
      <c r="J92" s="2">
        <v>5.75</v>
      </c>
      <c r="K92" s="2">
        <v>0</v>
      </c>
      <c r="L92" s="2">
        <v>4.7</v>
      </c>
      <c r="M92" s="2">
        <v>739852.58</v>
      </c>
      <c r="N92" s="2">
        <v>129386.43</v>
      </c>
      <c r="O92">
        <f t="shared" si="6"/>
        <v>0</v>
      </c>
      <c r="P92">
        <f t="shared" si="7"/>
        <v>1</v>
      </c>
      <c r="Q92">
        <f t="shared" si="8"/>
        <v>0</v>
      </c>
      <c r="R92">
        <f t="shared" si="9"/>
        <v>0</v>
      </c>
      <c r="S92">
        <f t="shared" si="10"/>
        <v>0</v>
      </c>
      <c r="T92">
        <f t="shared" si="11"/>
        <v>1</v>
      </c>
    </row>
    <row r="93" spans="1:20">
      <c r="A93" s="2" t="s">
        <v>44</v>
      </c>
      <c r="B93" s="3">
        <v>45748</v>
      </c>
      <c r="C93" s="2" t="s">
        <v>24</v>
      </c>
      <c r="D93" s="2" t="s">
        <v>28</v>
      </c>
      <c r="E93" s="2">
        <v>31207.51</v>
      </c>
      <c r="F93" s="2">
        <v>3701</v>
      </c>
      <c r="G93" s="2">
        <v>4.2999999999999997E-2</v>
      </c>
      <c r="H93" s="2">
        <v>11</v>
      </c>
      <c r="I93" s="2">
        <v>84.7</v>
      </c>
      <c r="J93" s="2">
        <v>0.33</v>
      </c>
      <c r="K93" s="2">
        <v>0</v>
      </c>
      <c r="L93" s="2">
        <v>4.3</v>
      </c>
      <c r="M93" s="2">
        <v>586307.22</v>
      </c>
      <c r="N93" s="2">
        <v>73927.850000000006</v>
      </c>
      <c r="O93">
        <f t="shared" si="6"/>
        <v>0</v>
      </c>
      <c r="P93">
        <f t="shared" si="7"/>
        <v>1</v>
      </c>
      <c r="Q93">
        <f t="shared" si="8"/>
        <v>0</v>
      </c>
      <c r="R93">
        <f t="shared" si="9"/>
        <v>0</v>
      </c>
      <c r="S93">
        <f t="shared" si="10"/>
        <v>0</v>
      </c>
      <c r="T93">
        <f t="shared" si="11"/>
        <v>1</v>
      </c>
    </row>
    <row r="94" spans="1:20">
      <c r="A94" s="2" t="s">
        <v>45</v>
      </c>
      <c r="B94" s="3">
        <v>45658</v>
      </c>
      <c r="C94" s="2" t="s">
        <v>27</v>
      </c>
      <c r="D94" s="2" t="s">
        <v>16</v>
      </c>
      <c r="E94" s="2">
        <v>38966.589999999997</v>
      </c>
      <c r="F94" s="2">
        <v>4509</v>
      </c>
      <c r="G94" s="2">
        <v>0.19400000000000001</v>
      </c>
      <c r="H94" s="2">
        <v>14</v>
      </c>
      <c r="I94" s="2">
        <v>91.1</v>
      </c>
      <c r="J94" s="2">
        <v>2.92</v>
      </c>
      <c r="K94" s="2">
        <v>0</v>
      </c>
      <c r="L94" s="2">
        <v>4.5999999999999996</v>
      </c>
      <c r="M94" s="2">
        <v>585937.48</v>
      </c>
      <c r="N94" s="2">
        <v>82624.2</v>
      </c>
      <c r="O94">
        <f t="shared" si="6"/>
        <v>0</v>
      </c>
      <c r="P94">
        <f t="shared" si="7"/>
        <v>0</v>
      </c>
      <c r="Q94">
        <f t="shared" si="8"/>
        <v>1</v>
      </c>
      <c r="R94">
        <f t="shared" si="9"/>
        <v>0</v>
      </c>
      <c r="S94">
        <f t="shared" si="10"/>
        <v>0</v>
      </c>
      <c r="T94">
        <f t="shared" si="11"/>
        <v>0</v>
      </c>
    </row>
    <row r="95" spans="1:20">
      <c r="A95" s="2" t="s">
        <v>45</v>
      </c>
      <c r="B95" s="3">
        <v>45689</v>
      </c>
      <c r="C95" s="2" t="s">
        <v>27</v>
      </c>
      <c r="D95" s="2" t="s">
        <v>16</v>
      </c>
      <c r="E95" s="2">
        <v>67439.3</v>
      </c>
      <c r="F95" s="2">
        <v>6477</v>
      </c>
      <c r="G95" s="2">
        <v>0</v>
      </c>
      <c r="H95" s="2">
        <v>16</v>
      </c>
      <c r="I95" s="2">
        <v>90.9</v>
      </c>
      <c r="J95" s="2">
        <v>1.64</v>
      </c>
      <c r="K95" s="2">
        <v>0</v>
      </c>
      <c r="L95" s="2">
        <v>4.5</v>
      </c>
      <c r="M95" s="2">
        <v>753473.55</v>
      </c>
      <c r="N95" s="2">
        <v>151527.22</v>
      </c>
      <c r="O95">
        <f t="shared" si="6"/>
        <v>0</v>
      </c>
      <c r="P95">
        <f t="shared" si="7"/>
        <v>0</v>
      </c>
      <c r="Q95">
        <f t="shared" si="8"/>
        <v>1</v>
      </c>
      <c r="R95">
        <f t="shared" si="9"/>
        <v>0</v>
      </c>
      <c r="S95">
        <f t="shared" si="10"/>
        <v>0</v>
      </c>
      <c r="T95">
        <f t="shared" si="11"/>
        <v>0</v>
      </c>
    </row>
    <row r="96" spans="1:20">
      <c r="A96" s="2" t="s">
        <v>45</v>
      </c>
      <c r="B96" s="3">
        <v>45717</v>
      </c>
      <c r="C96" s="2" t="s">
        <v>27</v>
      </c>
      <c r="D96" s="2" t="s">
        <v>16</v>
      </c>
      <c r="E96" s="2">
        <v>86421.88</v>
      </c>
      <c r="F96" s="2">
        <v>7970</v>
      </c>
      <c r="G96" s="2">
        <v>7.2999999999999995E-2</v>
      </c>
      <c r="H96" s="2">
        <v>17</v>
      </c>
      <c r="I96" s="2">
        <v>91.3</v>
      </c>
      <c r="J96" s="2">
        <v>0.8</v>
      </c>
      <c r="K96" s="2">
        <v>0</v>
      </c>
      <c r="L96" s="2">
        <v>5</v>
      </c>
      <c r="M96" s="2">
        <v>838250.32</v>
      </c>
      <c r="N96" s="2">
        <v>122939.34</v>
      </c>
      <c r="O96">
        <f t="shared" si="6"/>
        <v>0</v>
      </c>
      <c r="P96">
        <f t="shared" si="7"/>
        <v>0</v>
      </c>
      <c r="Q96">
        <f t="shared" si="8"/>
        <v>1</v>
      </c>
      <c r="R96">
        <f t="shared" si="9"/>
        <v>0</v>
      </c>
      <c r="S96">
        <f t="shared" si="10"/>
        <v>0</v>
      </c>
      <c r="T96">
        <f t="shared" si="11"/>
        <v>0</v>
      </c>
    </row>
    <row r="97" spans="1:20">
      <c r="A97" s="2" t="s">
        <v>45</v>
      </c>
      <c r="B97" s="3">
        <v>45748</v>
      </c>
      <c r="C97" s="2" t="s">
        <v>27</v>
      </c>
      <c r="D97" s="2" t="s">
        <v>16</v>
      </c>
      <c r="E97" s="2">
        <v>9534.65</v>
      </c>
      <c r="F97" s="2">
        <v>6057</v>
      </c>
      <c r="G97" s="2">
        <v>7.3999999999999996E-2</v>
      </c>
      <c r="H97" s="2">
        <v>15</v>
      </c>
      <c r="I97" s="2">
        <v>94.1</v>
      </c>
      <c r="J97" s="2">
        <v>5.79</v>
      </c>
      <c r="K97" s="2">
        <v>0</v>
      </c>
      <c r="L97" s="2">
        <v>4.5</v>
      </c>
      <c r="M97" s="2">
        <v>607898.12</v>
      </c>
      <c r="N97" s="2">
        <v>135404.85</v>
      </c>
      <c r="O97">
        <f t="shared" si="6"/>
        <v>0</v>
      </c>
      <c r="P97">
        <f t="shared" si="7"/>
        <v>0</v>
      </c>
      <c r="Q97">
        <f t="shared" si="8"/>
        <v>1</v>
      </c>
      <c r="R97">
        <f t="shared" si="9"/>
        <v>0</v>
      </c>
      <c r="S97">
        <f t="shared" si="10"/>
        <v>0</v>
      </c>
      <c r="T97">
        <f t="shared" si="11"/>
        <v>0</v>
      </c>
    </row>
    <row r="98" spans="1:20">
      <c r="A98" s="2" t="s">
        <v>46</v>
      </c>
      <c r="B98" s="3">
        <v>45658</v>
      </c>
      <c r="C98" s="2" t="s">
        <v>27</v>
      </c>
      <c r="D98" s="2" t="s">
        <v>28</v>
      </c>
      <c r="E98" s="2">
        <v>61132.07</v>
      </c>
      <c r="F98" s="2">
        <v>6394</v>
      </c>
      <c r="G98" s="2">
        <v>0.16300000000000001</v>
      </c>
      <c r="H98" s="2">
        <v>19</v>
      </c>
      <c r="I98" s="2">
        <v>91</v>
      </c>
      <c r="J98" s="2">
        <v>19.600000000000001</v>
      </c>
      <c r="K98" s="2">
        <v>0</v>
      </c>
      <c r="L98" s="2">
        <v>4.4000000000000004</v>
      </c>
      <c r="M98" s="2">
        <v>691113.62</v>
      </c>
      <c r="N98" s="2">
        <v>135145.44</v>
      </c>
      <c r="O98">
        <f t="shared" si="6"/>
        <v>0</v>
      </c>
      <c r="P98">
        <f t="shared" si="7"/>
        <v>0</v>
      </c>
      <c r="Q98">
        <f t="shared" si="8"/>
        <v>1</v>
      </c>
      <c r="R98">
        <f t="shared" si="9"/>
        <v>0</v>
      </c>
      <c r="S98">
        <f t="shared" si="10"/>
        <v>0</v>
      </c>
      <c r="T98">
        <f t="shared" si="11"/>
        <v>1</v>
      </c>
    </row>
    <row r="99" spans="1:20">
      <c r="A99" s="2" t="s">
        <v>46</v>
      </c>
      <c r="B99" s="3">
        <v>45689</v>
      </c>
      <c r="C99" s="2" t="s">
        <v>27</v>
      </c>
      <c r="D99" s="2" t="s">
        <v>28</v>
      </c>
      <c r="E99" s="2">
        <v>78839.39</v>
      </c>
      <c r="F99" s="2">
        <v>5150</v>
      </c>
      <c r="G99" s="2">
        <v>0.17100000000000001</v>
      </c>
      <c r="H99" s="2">
        <v>13</v>
      </c>
      <c r="I99" s="2">
        <v>85.8</v>
      </c>
      <c r="J99" s="2">
        <v>7.57</v>
      </c>
      <c r="K99" s="2">
        <v>0</v>
      </c>
      <c r="L99" s="2">
        <v>4.3</v>
      </c>
      <c r="M99" s="2">
        <v>735509.4</v>
      </c>
      <c r="N99" s="2">
        <v>83895.96</v>
      </c>
      <c r="O99">
        <f t="shared" si="6"/>
        <v>0</v>
      </c>
      <c r="P99">
        <f t="shared" si="7"/>
        <v>0</v>
      </c>
      <c r="Q99">
        <f t="shared" si="8"/>
        <v>1</v>
      </c>
      <c r="R99">
        <f t="shared" si="9"/>
        <v>0</v>
      </c>
      <c r="S99">
        <f t="shared" si="10"/>
        <v>0</v>
      </c>
      <c r="T99">
        <f t="shared" si="11"/>
        <v>1</v>
      </c>
    </row>
    <row r="100" spans="1:20">
      <c r="A100" s="2" t="s">
        <v>46</v>
      </c>
      <c r="B100" s="3">
        <v>45717</v>
      </c>
      <c r="C100" s="2" t="s">
        <v>27</v>
      </c>
      <c r="D100" s="2" t="s">
        <v>28</v>
      </c>
      <c r="E100" s="2">
        <v>38752.800000000003</v>
      </c>
      <c r="F100" s="2">
        <v>4712</v>
      </c>
      <c r="G100" s="2">
        <v>7.4999999999999997E-2</v>
      </c>
      <c r="H100" s="2">
        <v>15</v>
      </c>
      <c r="I100" s="2">
        <v>89.7</v>
      </c>
      <c r="J100" s="2"/>
      <c r="K100" s="2">
        <v>0</v>
      </c>
      <c r="L100" s="2">
        <v>4.3</v>
      </c>
      <c r="M100" s="2">
        <v>605775.32999999996</v>
      </c>
      <c r="N100" s="2">
        <v>107194.6</v>
      </c>
      <c r="O100">
        <f t="shared" si="6"/>
        <v>0</v>
      </c>
      <c r="P100">
        <f t="shared" si="7"/>
        <v>0</v>
      </c>
      <c r="Q100">
        <f t="shared" si="8"/>
        <v>1</v>
      </c>
      <c r="R100">
        <f t="shared" si="9"/>
        <v>0</v>
      </c>
      <c r="S100">
        <f t="shared" si="10"/>
        <v>0</v>
      </c>
      <c r="T100">
        <f t="shared" si="11"/>
        <v>1</v>
      </c>
    </row>
    <row r="101" spans="1:20">
      <c r="A101" s="2" t="s">
        <v>46</v>
      </c>
      <c r="B101" s="3">
        <v>45748</v>
      </c>
      <c r="C101" s="2" t="s">
        <v>27</v>
      </c>
      <c r="D101" s="2" t="s">
        <v>28</v>
      </c>
      <c r="E101" s="2">
        <v>55101.1</v>
      </c>
      <c r="F101" s="2">
        <v>5281</v>
      </c>
      <c r="G101" s="2">
        <v>0.189</v>
      </c>
      <c r="H101" s="2">
        <v>11</v>
      </c>
      <c r="I101" s="2">
        <v>91</v>
      </c>
      <c r="J101" s="2">
        <v>2.7</v>
      </c>
      <c r="K101" s="2">
        <v>0</v>
      </c>
      <c r="L101" s="2">
        <v>4.4000000000000004</v>
      </c>
      <c r="M101" s="2">
        <v>675177.68</v>
      </c>
      <c r="N101" s="2">
        <v>105628.68</v>
      </c>
      <c r="O101">
        <f t="shared" si="6"/>
        <v>0</v>
      </c>
      <c r="P101">
        <f t="shared" si="7"/>
        <v>0</v>
      </c>
      <c r="Q101">
        <f t="shared" si="8"/>
        <v>1</v>
      </c>
      <c r="R101">
        <f t="shared" si="9"/>
        <v>0</v>
      </c>
      <c r="S101">
        <f t="shared" si="10"/>
        <v>0</v>
      </c>
      <c r="T101">
        <f t="shared" si="11"/>
        <v>1</v>
      </c>
    </row>
    <row r="102" spans="1:20">
      <c r="A102" s="2" t="s">
        <v>47</v>
      </c>
      <c r="B102" s="3">
        <v>45658</v>
      </c>
      <c r="C102" s="2" t="s">
        <v>15</v>
      </c>
      <c r="D102" s="2" t="s">
        <v>28</v>
      </c>
      <c r="E102" s="2">
        <v>53084.76</v>
      </c>
      <c r="F102" s="2">
        <v>3642</v>
      </c>
      <c r="G102" s="2">
        <v>0.15</v>
      </c>
      <c r="H102" s="2">
        <v>12</v>
      </c>
      <c r="I102" s="2">
        <v>91.4</v>
      </c>
      <c r="J102" s="2">
        <v>0.2</v>
      </c>
      <c r="K102" s="2">
        <v>0</v>
      </c>
      <c r="L102" s="2">
        <v>4.4000000000000004</v>
      </c>
      <c r="M102" s="2">
        <v>635181.35</v>
      </c>
      <c r="N102" s="2">
        <v>83341.25</v>
      </c>
      <c r="O102">
        <f t="shared" si="6"/>
        <v>0</v>
      </c>
      <c r="P102">
        <f t="shared" si="7"/>
        <v>0</v>
      </c>
      <c r="Q102">
        <f t="shared" si="8"/>
        <v>0</v>
      </c>
      <c r="R102">
        <f t="shared" si="9"/>
        <v>0</v>
      </c>
      <c r="S102">
        <f t="shared" si="10"/>
        <v>0</v>
      </c>
      <c r="T102">
        <f t="shared" si="11"/>
        <v>1</v>
      </c>
    </row>
    <row r="103" spans="1:20">
      <c r="A103" s="2" t="s">
        <v>47</v>
      </c>
      <c r="B103" s="3">
        <v>45689</v>
      </c>
      <c r="C103" s="2" t="s">
        <v>15</v>
      </c>
      <c r="D103" s="2" t="s">
        <v>28</v>
      </c>
      <c r="E103" s="2">
        <v>63101.59</v>
      </c>
      <c r="F103" s="2">
        <v>4373</v>
      </c>
      <c r="G103" s="2">
        <v>0.17299999999999999</v>
      </c>
      <c r="H103" s="2">
        <v>14</v>
      </c>
      <c r="I103" s="2">
        <v>90.4</v>
      </c>
      <c r="J103" s="2">
        <v>7.87</v>
      </c>
      <c r="K103" s="2">
        <v>0</v>
      </c>
      <c r="L103" s="2">
        <v>4.7</v>
      </c>
      <c r="M103" s="2">
        <v>586626.93999999994</v>
      </c>
      <c r="N103" s="2">
        <v>86498.55</v>
      </c>
      <c r="O103">
        <f t="shared" si="6"/>
        <v>0</v>
      </c>
      <c r="P103">
        <f t="shared" si="7"/>
        <v>0</v>
      </c>
      <c r="Q103">
        <f t="shared" si="8"/>
        <v>0</v>
      </c>
      <c r="R103">
        <f t="shared" si="9"/>
        <v>0</v>
      </c>
      <c r="S103">
        <f t="shared" si="10"/>
        <v>0</v>
      </c>
      <c r="T103">
        <f t="shared" si="11"/>
        <v>1</v>
      </c>
    </row>
    <row r="104" spans="1:20">
      <c r="A104" s="2" t="s">
        <v>47</v>
      </c>
      <c r="B104" s="3">
        <v>45717</v>
      </c>
      <c r="C104" s="2" t="s">
        <v>15</v>
      </c>
      <c r="D104" s="2" t="s">
        <v>28</v>
      </c>
      <c r="E104" s="2">
        <v>90084.4</v>
      </c>
      <c r="F104" s="2">
        <v>6832</v>
      </c>
      <c r="G104" s="2">
        <v>0.185</v>
      </c>
      <c r="H104" s="2">
        <v>14</v>
      </c>
      <c r="I104" s="2">
        <v>80.5</v>
      </c>
      <c r="J104" s="2">
        <v>0.77</v>
      </c>
      <c r="K104" s="2">
        <v>1</v>
      </c>
      <c r="L104" s="2">
        <v>4.4000000000000004</v>
      </c>
      <c r="M104" s="2">
        <v>740102.64</v>
      </c>
      <c r="N104" s="2">
        <v>114299.07</v>
      </c>
      <c r="O104">
        <f t="shared" si="6"/>
        <v>0</v>
      </c>
      <c r="P104">
        <f t="shared" si="7"/>
        <v>0</v>
      </c>
      <c r="Q104">
        <f t="shared" si="8"/>
        <v>0</v>
      </c>
      <c r="R104">
        <f t="shared" si="9"/>
        <v>0</v>
      </c>
      <c r="S104">
        <f t="shared" si="10"/>
        <v>0</v>
      </c>
      <c r="T104">
        <f t="shared" si="11"/>
        <v>1</v>
      </c>
    </row>
    <row r="105" spans="1:20">
      <c r="A105" s="2" t="s">
        <v>47</v>
      </c>
      <c r="B105" s="3">
        <v>45748</v>
      </c>
      <c r="C105" s="2" t="s">
        <v>15</v>
      </c>
      <c r="D105" s="2" t="s">
        <v>28</v>
      </c>
      <c r="E105" s="2">
        <v>32266.639999999999</v>
      </c>
      <c r="F105" s="2">
        <v>2414</v>
      </c>
      <c r="G105" s="2">
        <v>0.08</v>
      </c>
      <c r="H105" s="2">
        <v>7</v>
      </c>
      <c r="I105" s="2">
        <v>92.1</v>
      </c>
      <c r="J105" s="2">
        <v>1.48</v>
      </c>
      <c r="K105" s="2">
        <v>0</v>
      </c>
      <c r="L105" s="2">
        <v>5</v>
      </c>
      <c r="M105" s="2">
        <v>625514.04</v>
      </c>
      <c r="N105" s="2">
        <v>120685.08</v>
      </c>
      <c r="O105">
        <f t="shared" si="6"/>
        <v>0</v>
      </c>
      <c r="P105">
        <f t="shared" si="7"/>
        <v>0</v>
      </c>
      <c r="Q105">
        <f t="shared" si="8"/>
        <v>0</v>
      </c>
      <c r="R105">
        <f t="shared" si="9"/>
        <v>0</v>
      </c>
      <c r="S105">
        <f t="shared" si="10"/>
        <v>0</v>
      </c>
      <c r="T105">
        <f t="shared" si="11"/>
        <v>1</v>
      </c>
    </row>
    <row r="106" spans="1:20">
      <c r="A106" s="2" t="s">
        <v>48</v>
      </c>
      <c r="B106" s="3">
        <v>45658</v>
      </c>
      <c r="C106" s="2" t="s">
        <v>27</v>
      </c>
      <c r="D106" s="2" t="s">
        <v>18</v>
      </c>
      <c r="E106" s="2">
        <v>57919.07</v>
      </c>
      <c r="F106" s="2">
        <v>7374</v>
      </c>
      <c r="G106" s="2">
        <v>0.10299999999999999</v>
      </c>
      <c r="H106" s="2">
        <v>21</v>
      </c>
      <c r="I106" s="2">
        <v>82.3</v>
      </c>
      <c r="J106" s="2">
        <v>2.87</v>
      </c>
      <c r="K106" s="2">
        <v>0</v>
      </c>
      <c r="L106" s="2">
        <v>2.9</v>
      </c>
      <c r="M106" s="2">
        <v>727227.2</v>
      </c>
      <c r="N106" s="2">
        <v>121292.01</v>
      </c>
      <c r="O106">
        <f t="shared" si="6"/>
        <v>0</v>
      </c>
      <c r="P106">
        <f t="shared" si="7"/>
        <v>0</v>
      </c>
      <c r="Q106">
        <f t="shared" si="8"/>
        <v>1</v>
      </c>
      <c r="R106">
        <f t="shared" si="9"/>
        <v>1</v>
      </c>
      <c r="S106">
        <f t="shared" si="10"/>
        <v>0</v>
      </c>
      <c r="T106">
        <f t="shared" si="11"/>
        <v>0</v>
      </c>
    </row>
    <row r="107" spans="1:20">
      <c r="A107" s="2" t="s">
        <v>48</v>
      </c>
      <c r="B107" s="3">
        <v>45689</v>
      </c>
      <c r="C107" s="2" t="s">
        <v>27</v>
      </c>
      <c r="D107" s="2" t="s">
        <v>18</v>
      </c>
      <c r="E107" s="2">
        <v>74679.350000000006</v>
      </c>
      <c r="F107" s="2">
        <v>8739</v>
      </c>
      <c r="G107" s="2">
        <v>5.6000000000000001E-2</v>
      </c>
      <c r="H107" s="2">
        <v>21</v>
      </c>
      <c r="I107" s="2">
        <v>91.8</v>
      </c>
      <c r="J107" s="2">
        <v>2.83</v>
      </c>
      <c r="K107" s="2">
        <v>0</v>
      </c>
      <c r="L107" s="2">
        <v>3</v>
      </c>
      <c r="M107" s="2">
        <v>783797.89</v>
      </c>
      <c r="N107" s="2">
        <v>157620.70000000001</v>
      </c>
      <c r="O107">
        <f t="shared" si="6"/>
        <v>0</v>
      </c>
      <c r="P107">
        <f t="shared" si="7"/>
        <v>0</v>
      </c>
      <c r="Q107">
        <f t="shared" si="8"/>
        <v>1</v>
      </c>
      <c r="R107">
        <f t="shared" si="9"/>
        <v>1</v>
      </c>
      <c r="S107">
        <f t="shared" si="10"/>
        <v>0</v>
      </c>
      <c r="T107">
        <f t="shared" si="11"/>
        <v>0</v>
      </c>
    </row>
    <row r="108" spans="1:20">
      <c r="A108" s="2" t="s">
        <v>48</v>
      </c>
      <c r="B108" s="3">
        <v>45717</v>
      </c>
      <c r="C108" s="2" t="s">
        <v>27</v>
      </c>
      <c r="D108" s="2" t="s">
        <v>18</v>
      </c>
      <c r="E108" s="2">
        <v>64294.23</v>
      </c>
      <c r="F108" s="2">
        <v>6992</v>
      </c>
      <c r="G108" s="2">
        <v>0.13300000000000001</v>
      </c>
      <c r="H108" s="2">
        <v>14</v>
      </c>
      <c r="I108" s="2">
        <v>94.1</v>
      </c>
      <c r="J108" s="2">
        <v>0.25</v>
      </c>
      <c r="K108" s="2">
        <v>0</v>
      </c>
      <c r="L108" s="2">
        <v>3</v>
      </c>
      <c r="M108" s="2">
        <v>795153.84</v>
      </c>
      <c r="N108" s="2">
        <v>143194.21</v>
      </c>
      <c r="O108">
        <f t="shared" si="6"/>
        <v>0</v>
      </c>
      <c r="P108">
        <f t="shared" si="7"/>
        <v>0</v>
      </c>
      <c r="Q108">
        <f t="shared" si="8"/>
        <v>1</v>
      </c>
      <c r="R108">
        <f t="shared" si="9"/>
        <v>1</v>
      </c>
      <c r="S108">
        <f t="shared" si="10"/>
        <v>0</v>
      </c>
      <c r="T108">
        <f t="shared" si="11"/>
        <v>0</v>
      </c>
    </row>
    <row r="109" spans="1:20">
      <c r="A109" s="2" t="s">
        <v>48</v>
      </c>
      <c r="B109" s="3">
        <v>45748</v>
      </c>
      <c r="C109" s="2" t="s">
        <v>27</v>
      </c>
      <c r="D109" s="2" t="s">
        <v>18</v>
      </c>
      <c r="E109" s="2">
        <v>31042.03</v>
      </c>
      <c r="F109" s="2">
        <v>7107</v>
      </c>
      <c r="G109" s="2">
        <v>5.0999999999999997E-2</v>
      </c>
      <c r="H109" s="2">
        <v>15</v>
      </c>
      <c r="I109" s="2">
        <v>87</v>
      </c>
      <c r="J109" s="2">
        <v>13.33</v>
      </c>
      <c r="K109" s="2">
        <v>0</v>
      </c>
      <c r="L109" s="2">
        <v>3.2</v>
      </c>
      <c r="M109" s="2">
        <v>665594.93999999994</v>
      </c>
      <c r="N109" s="2">
        <v>127597.34</v>
      </c>
      <c r="O109">
        <f t="shared" si="6"/>
        <v>0</v>
      </c>
      <c r="P109">
        <f t="shared" si="7"/>
        <v>0</v>
      </c>
      <c r="Q109">
        <f t="shared" si="8"/>
        <v>1</v>
      </c>
      <c r="R109">
        <f t="shared" si="9"/>
        <v>1</v>
      </c>
      <c r="S109">
        <f t="shared" si="10"/>
        <v>0</v>
      </c>
      <c r="T109">
        <f t="shared" si="11"/>
        <v>0</v>
      </c>
    </row>
    <row r="110" spans="1:20">
      <c r="A110" s="2" t="s">
        <v>49</v>
      </c>
      <c r="B110" s="3">
        <v>45658</v>
      </c>
      <c r="C110" s="2" t="s">
        <v>15</v>
      </c>
      <c r="D110" s="2" t="s">
        <v>28</v>
      </c>
      <c r="E110" s="2">
        <v>75265.02</v>
      </c>
      <c r="F110" s="2">
        <v>6975</v>
      </c>
      <c r="G110" s="2">
        <v>0.157</v>
      </c>
      <c r="H110" s="2">
        <v>20</v>
      </c>
      <c r="I110" s="2">
        <v>73.8</v>
      </c>
      <c r="J110" s="2">
        <v>6.35</v>
      </c>
      <c r="K110" s="2">
        <v>1</v>
      </c>
      <c r="L110" s="2">
        <v>3.8</v>
      </c>
      <c r="M110" s="2">
        <v>709478.39</v>
      </c>
      <c r="N110" s="2">
        <v>71294.27</v>
      </c>
      <c r="O110">
        <f t="shared" si="6"/>
        <v>0</v>
      </c>
      <c r="P110">
        <f t="shared" si="7"/>
        <v>0</v>
      </c>
      <c r="Q110">
        <f t="shared" si="8"/>
        <v>0</v>
      </c>
      <c r="R110">
        <f t="shared" si="9"/>
        <v>0</v>
      </c>
      <c r="S110">
        <f t="shared" si="10"/>
        <v>0</v>
      </c>
      <c r="T110">
        <f t="shared" si="11"/>
        <v>1</v>
      </c>
    </row>
    <row r="111" spans="1:20">
      <c r="A111" s="2" t="s">
        <v>49</v>
      </c>
      <c r="B111" s="3">
        <v>45689</v>
      </c>
      <c r="C111" s="2" t="s">
        <v>15</v>
      </c>
      <c r="D111" s="2" t="s">
        <v>28</v>
      </c>
      <c r="E111" s="2">
        <v>69411.7</v>
      </c>
      <c r="F111" s="2">
        <v>5493</v>
      </c>
      <c r="G111" s="2">
        <v>0.29199999999999998</v>
      </c>
      <c r="H111" s="2">
        <v>13</v>
      </c>
      <c r="I111" s="2">
        <v>86.5</v>
      </c>
      <c r="J111" s="2">
        <v>6.69</v>
      </c>
      <c r="K111" s="2">
        <v>0</v>
      </c>
      <c r="L111" s="2">
        <v>3.8</v>
      </c>
      <c r="M111" s="2">
        <v>664162.49</v>
      </c>
      <c r="N111" s="2">
        <v>98291.06</v>
      </c>
      <c r="O111">
        <f t="shared" si="6"/>
        <v>0</v>
      </c>
      <c r="P111">
        <f t="shared" si="7"/>
        <v>0</v>
      </c>
      <c r="Q111">
        <f t="shared" si="8"/>
        <v>0</v>
      </c>
      <c r="R111">
        <f t="shared" si="9"/>
        <v>0</v>
      </c>
      <c r="S111">
        <f t="shared" si="10"/>
        <v>0</v>
      </c>
      <c r="T111">
        <f t="shared" si="11"/>
        <v>1</v>
      </c>
    </row>
    <row r="112" spans="1:20">
      <c r="A112" s="2" t="s">
        <v>49</v>
      </c>
      <c r="B112" s="3">
        <v>45717</v>
      </c>
      <c r="C112" s="2" t="s">
        <v>15</v>
      </c>
      <c r="D112" s="2" t="s">
        <v>28</v>
      </c>
      <c r="E112" s="2">
        <v>51056.15</v>
      </c>
      <c r="F112" s="2">
        <v>5686</v>
      </c>
      <c r="G112" s="2">
        <v>8.8999999999999996E-2</v>
      </c>
      <c r="H112" s="2">
        <v>13</v>
      </c>
      <c r="I112" s="2">
        <v>89.9</v>
      </c>
      <c r="J112" s="2">
        <v>1.28</v>
      </c>
      <c r="K112" s="2">
        <v>0</v>
      </c>
      <c r="L112" s="2">
        <v>4.2</v>
      </c>
      <c r="M112" s="2">
        <v>633494.21</v>
      </c>
      <c r="N112" s="2">
        <v>105739.47</v>
      </c>
      <c r="O112">
        <f t="shared" si="6"/>
        <v>0</v>
      </c>
      <c r="P112">
        <f t="shared" si="7"/>
        <v>0</v>
      </c>
      <c r="Q112">
        <f t="shared" si="8"/>
        <v>0</v>
      </c>
      <c r="R112">
        <f t="shared" si="9"/>
        <v>0</v>
      </c>
      <c r="S112">
        <f t="shared" si="10"/>
        <v>0</v>
      </c>
      <c r="T112">
        <f t="shared" si="11"/>
        <v>1</v>
      </c>
    </row>
    <row r="113" spans="1:20">
      <c r="A113" s="2" t="s">
        <v>49</v>
      </c>
      <c r="B113" s="3">
        <v>45748</v>
      </c>
      <c r="C113" s="2" t="s">
        <v>15</v>
      </c>
      <c r="D113" s="2" t="s">
        <v>28</v>
      </c>
      <c r="E113" s="2">
        <v>52758.01</v>
      </c>
      <c r="F113" s="2">
        <v>4063</v>
      </c>
      <c r="G113" s="2">
        <v>5.7000000000000002E-2</v>
      </c>
      <c r="H113" s="2">
        <v>12</v>
      </c>
      <c r="I113" s="2">
        <v>91.7</v>
      </c>
      <c r="J113" s="2">
        <v>0.92</v>
      </c>
      <c r="K113" s="2">
        <v>0</v>
      </c>
      <c r="L113" s="2">
        <v>3.5</v>
      </c>
      <c r="M113" s="2">
        <v>713611.16</v>
      </c>
      <c r="N113" s="2">
        <v>129717.18</v>
      </c>
      <c r="O113">
        <f t="shared" si="6"/>
        <v>0</v>
      </c>
      <c r="P113">
        <f t="shared" si="7"/>
        <v>0</v>
      </c>
      <c r="Q113">
        <f t="shared" si="8"/>
        <v>0</v>
      </c>
      <c r="R113">
        <f t="shared" si="9"/>
        <v>0</v>
      </c>
      <c r="S113">
        <f t="shared" si="10"/>
        <v>0</v>
      </c>
      <c r="T113">
        <f t="shared" si="11"/>
        <v>1</v>
      </c>
    </row>
    <row r="114" spans="1:20">
      <c r="A114" s="2" t="s">
        <v>50</v>
      </c>
      <c r="B114" s="3">
        <v>45658</v>
      </c>
      <c r="C114" s="2" t="s">
        <v>27</v>
      </c>
      <c r="D114" s="2" t="s">
        <v>28</v>
      </c>
      <c r="E114" s="2">
        <v>61426.04</v>
      </c>
      <c r="F114" s="2">
        <v>8966</v>
      </c>
      <c r="G114" s="2">
        <v>0.17299999999999999</v>
      </c>
      <c r="H114" s="2">
        <v>22</v>
      </c>
      <c r="I114" s="2">
        <v>76.400000000000006</v>
      </c>
      <c r="J114" s="2">
        <v>1.05</v>
      </c>
      <c r="K114" s="2">
        <v>0</v>
      </c>
      <c r="L114" s="2">
        <v>3.1</v>
      </c>
      <c r="M114" s="2">
        <v>778397.97</v>
      </c>
      <c r="N114" s="2">
        <v>120044.41</v>
      </c>
      <c r="O114">
        <f t="shared" si="6"/>
        <v>0</v>
      </c>
      <c r="P114">
        <f t="shared" si="7"/>
        <v>0</v>
      </c>
      <c r="Q114">
        <f t="shared" si="8"/>
        <v>1</v>
      </c>
      <c r="R114">
        <f t="shared" si="9"/>
        <v>0</v>
      </c>
      <c r="S114">
        <f t="shared" si="10"/>
        <v>0</v>
      </c>
      <c r="T114">
        <f t="shared" si="11"/>
        <v>1</v>
      </c>
    </row>
    <row r="115" spans="1:20">
      <c r="A115" s="2" t="s">
        <v>50</v>
      </c>
      <c r="B115" s="3">
        <v>45689</v>
      </c>
      <c r="C115" s="2" t="s">
        <v>27</v>
      </c>
      <c r="D115" s="2" t="s">
        <v>28</v>
      </c>
      <c r="E115" s="2">
        <v>80176.34</v>
      </c>
      <c r="F115" s="2">
        <v>9489</v>
      </c>
      <c r="G115" s="2">
        <v>0.14199999999999999</v>
      </c>
      <c r="H115" s="2">
        <v>22</v>
      </c>
      <c r="I115" s="2">
        <v>94.3</v>
      </c>
      <c r="J115" s="2">
        <v>2.67</v>
      </c>
      <c r="K115" s="2">
        <v>0</v>
      </c>
      <c r="L115" s="2">
        <v>3.5</v>
      </c>
      <c r="M115" s="2">
        <v>873380.02</v>
      </c>
      <c r="N115" s="2">
        <v>149734.76</v>
      </c>
      <c r="O115">
        <f t="shared" si="6"/>
        <v>0</v>
      </c>
      <c r="P115">
        <f t="shared" si="7"/>
        <v>0</v>
      </c>
      <c r="Q115">
        <f t="shared" si="8"/>
        <v>1</v>
      </c>
      <c r="R115">
        <f t="shared" si="9"/>
        <v>0</v>
      </c>
      <c r="S115">
        <f t="shared" si="10"/>
        <v>0</v>
      </c>
      <c r="T115">
        <f t="shared" si="11"/>
        <v>1</v>
      </c>
    </row>
    <row r="116" spans="1:20">
      <c r="A116" s="2" t="s">
        <v>50</v>
      </c>
      <c r="B116" s="3">
        <v>45717</v>
      </c>
      <c r="C116" s="2" t="s">
        <v>27</v>
      </c>
      <c r="D116" s="2" t="s">
        <v>28</v>
      </c>
      <c r="E116" s="2">
        <v>33605.18</v>
      </c>
      <c r="F116" s="2">
        <v>9225</v>
      </c>
      <c r="G116" s="2">
        <v>0.159</v>
      </c>
      <c r="H116" s="2">
        <v>23</v>
      </c>
      <c r="I116" s="2">
        <v>88.4</v>
      </c>
      <c r="J116" s="2">
        <v>5.91</v>
      </c>
      <c r="K116" s="2">
        <v>0</v>
      </c>
      <c r="L116" s="2">
        <v>2.8</v>
      </c>
      <c r="M116" s="2">
        <v>697287.9</v>
      </c>
      <c r="N116" s="2">
        <v>128208.33</v>
      </c>
      <c r="O116">
        <f t="shared" si="6"/>
        <v>0</v>
      </c>
      <c r="P116">
        <f t="shared" si="7"/>
        <v>0</v>
      </c>
      <c r="Q116">
        <f t="shared" si="8"/>
        <v>1</v>
      </c>
      <c r="R116">
        <f t="shared" si="9"/>
        <v>0</v>
      </c>
      <c r="S116">
        <f t="shared" si="10"/>
        <v>0</v>
      </c>
      <c r="T116">
        <f t="shared" si="11"/>
        <v>1</v>
      </c>
    </row>
    <row r="117" spans="1:20">
      <c r="A117" s="2" t="s">
        <v>50</v>
      </c>
      <c r="B117" s="3">
        <v>45748</v>
      </c>
      <c r="C117" s="2" t="s">
        <v>27</v>
      </c>
      <c r="D117" s="2" t="s">
        <v>28</v>
      </c>
      <c r="E117" s="2">
        <v>25990.54</v>
      </c>
      <c r="F117" s="2">
        <v>9249</v>
      </c>
      <c r="G117" s="2">
        <v>0.13900000000000001</v>
      </c>
      <c r="H117" s="2">
        <v>23</v>
      </c>
      <c r="I117" s="2">
        <v>92.5</v>
      </c>
      <c r="J117" s="2">
        <v>6.37</v>
      </c>
      <c r="K117" s="2">
        <v>0</v>
      </c>
      <c r="L117" s="2">
        <v>3.3</v>
      </c>
      <c r="M117" s="2">
        <v>718074.79</v>
      </c>
      <c r="N117" s="2">
        <v>115819.87</v>
      </c>
      <c r="O117">
        <f t="shared" si="6"/>
        <v>0</v>
      </c>
      <c r="P117">
        <f t="shared" si="7"/>
        <v>0</v>
      </c>
      <c r="Q117">
        <f t="shared" si="8"/>
        <v>1</v>
      </c>
      <c r="R117">
        <f t="shared" si="9"/>
        <v>0</v>
      </c>
      <c r="S117">
        <f t="shared" si="10"/>
        <v>0</v>
      </c>
      <c r="T117">
        <f t="shared" si="11"/>
        <v>1</v>
      </c>
    </row>
    <row r="118" spans="1:20">
      <c r="A118" s="2" t="s">
        <v>51</v>
      </c>
      <c r="B118" s="3">
        <v>45658</v>
      </c>
      <c r="C118" s="2" t="s">
        <v>27</v>
      </c>
      <c r="D118" s="2" t="s">
        <v>16</v>
      </c>
      <c r="E118" s="2">
        <v>43685.14</v>
      </c>
      <c r="F118" s="2">
        <v>7821</v>
      </c>
      <c r="G118" s="2">
        <v>0.19</v>
      </c>
      <c r="H118" s="2">
        <v>17</v>
      </c>
      <c r="I118" s="2">
        <v>91</v>
      </c>
      <c r="J118" s="2">
        <v>2.4900000000000002</v>
      </c>
      <c r="K118" s="2">
        <v>1</v>
      </c>
      <c r="L118" s="2">
        <v>4.7</v>
      </c>
      <c r="M118" s="2">
        <v>714942.43</v>
      </c>
      <c r="N118" s="2">
        <v>94697.71</v>
      </c>
      <c r="O118">
        <f t="shared" si="6"/>
        <v>0</v>
      </c>
      <c r="P118">
        <f t="shared" si="7"/>
        <v>0</v>
      </c>
      <c r="Q118">
        <f t="shared" si="8"/>
        <v>1</v>
      </c>
      <c r="R118">
        <f t="shared" si="9"/>
        <v>0</v>
      </c>
      <c r="S118">
        <f t="shared" si="10"/>
        <v>0</v>
      </c>
      <c r="T118">
        <f t="shared" si="11"/>
        <v>0</v>
      </c>
    </row>
    <row r="119" spans="1:20">
      <c r="A119" s="2" t="s">
        <v>51</v>
      </c>
      <c r="B119" s="3">
        <v>45689</v>
      </c>
      <c r="C119" s="2" t="s">
        <v>27</v>
      </c>
      <c r="D119" s="2" t="s">
        <v>16</v>
      </c>
      <c r="E119" s="2">
        <v>57360.01</v>
      </c>
      <c r="F119" s="2">
        <v>8434</v>
      </c>
      <c r="G119" s="2">
        <v>0.151</v>
      </c>
      <c r="H119" s="2">
        <v>19</v>
      </c>
      <c r="I119" s="2">
        <v>84.1</v>
      </c>
      <c r="J119" s="2">
        <v>1.56</v>
      </c>
      <c r="K119" s="2">
        <v>0</v>
      </c>
      <c r="L119" s="2">
        <v>4.7</v>
      </c>
      <c r="M119" s="2">
        <v>820519.04</v>
      </c>
      <c r="N119" s="2">
        <v>99035.88</v>
      </c>
      <c r="O119">
        <f t="shared" si="6"/>
        <v>0</v>
      </c>
      <c r="P119">
        <f t="shared" si="7"/>
        <v>0</v>
      </c>
      <c r="Q119">
        <f t="shared" si="8"/>
        <v>1</v>
      </c>
      <c r="R119">
        <f t="shared" si="9"/>
        <v>0</v>
      </c>
      <c r="S119">
        <f t="shared" si="10"/>
        <v>0</v>
      </c>
      <c r="T119">
        <f t="shared" si="11"/>
        <v>0</v>
      </c>
    </row>
    <row r="120" spans="1:20">
      <c r="A120" s="2" t="s">
        <v>51</v>
      </c>
      <c r="B120" s="3">
        <v>45717</v>
      </c>
      <c r="C120" s="2" t="s">
        <v>27</v>
      </c>
      <c r="D120" s="2" t="s">
        <v>16</v>
      </c>
      <c r="E120" s="2">
        <v>42415.47</v>
      </c>
      <c r="F120" s="2">
        <v>8512</v>
      </c>
      <c r="G120" s="2">
        <v>0.13300000000000001</v>
      </c>
      <c r="H120" s="2">
        <v>18</v>
      </c>
      <c r="I120" s="2">
        <v>96.8</v>
      </c>
      <c r="J120" s="2">
        <v>14.95</v>
      </c>
      <c r="K120" s="2">
        <v>0</v>
      </c>
      <c r="L120" s="2">
        <v>4.5999999999999996</v>
      </c>
      <c r="M120" s="2">
        <v>684217.32</v>
      </c>
      <c r="N120" s="2">
        <v>136217.19</v>
      </c>
      <c r="O120">
        <f t="shared" si="6"/>
        <v>0</v>
      </c>
      <c r="P120">
        <f t="shared" si="7"/>
        <v>0</v>
      </c>
      <c r="Q120">
        <f t="shared" si="8"/>
        <v>1</v>
      </c>
      <c r="R120">
        <f t="shared" si="9"/>
        <v>0</v>
      </c>
      <c r="S120">
        <f t="shared" si="10"/>
        <v>0</v>
      </c>
      <c r="T120">
        <f t="shared" si="11"/>
        <v>0</v>
      </c>
    </row>
    <row r="121" spans="1:20">
      <c r="A121" s="2" t="s">
        <v>51</v>
      </c>
      <c r="B121" s="3">
        <v>45748</v>
      </c>
      <c r="C121" s="2" t="s">
        <v>27</v>
      </c>
      <c r="D121" s="2" t="s">
        <v>16</v>
      </c>
      <c r="E121" s="2">
        <v>54968.98</v>
      </c>
      <c r="F121" s="2">
        <v>7816</v>
      </c>
      <c r="G121" s="2">
        <v>0.23200000000000001</v>
      </c>
      <c r="H121" s="2">
        <v>19</v>
      </c>
      <c r="I121" s="2">
        <v>95.7</v>
      </c>
      <c r="J121" s="2">
        <v>7.85</v>
      </c>
      <c r="K121" s="2">
        <v>0</v>
      </c>
      <c r="L121" s="2">
        <v>4.7</v>
      </c>
      <c r="M121" s="2">
        <v>735480.19</v>
      </c>
      <c r="N121" s="2">
        <v>88342.11</v>
      </c>
      <c r="O121">
        <f t="shared" si="6"/>
        <v>0</v>
      </c>
      <c r="P121">
        <f t="shared" si="7"/>
        <v>0</v>
      </c>
      <c r="Q121">
        <f t="shared" si="8"/>
        <v>1</v>
      </c>
      <c r="R121">
        <f t="shared" si="9"/>
        <v>0</v>
      </c>
      <c r="S121">
        <f t="shared" si="10"/>
        <v>0</v>
      </c>
      <c r="T121">
        <f t="shared" si="11"/>
        <v>0</v>
      </c>
    </row>
    <row r="122" spans="1:20">
      <c r="A122" s="2" t="s">
        <v>52</v>
      </c>
      <c r="B122" s="3">
        <v>45658</v>
      </c>
      <c r="C122" s="2" t="s">
        <v>20</v>
      </c>
      <c r="D122" s="2" t="s">
        <v>18</v>
      </c>
      <c r="E122" s="2">
        <v>43896.13</v>
      </c>
      <c r="F122" s="2">
        <v>3853</v>
      </c>
      <c r="G122" s="2">
        <v>8.7999999999999995E-2</v>
      </c>
      <c r="H122" s="2">
        <v>13</v>
      </c>
      <c r="I122" s="2">
        <v>83</v>
      </c>
      <c r="J122" s="2">
        <v>6.8</v>
      </c>
      <c r="K122" s="2">
        <v>0</v>
      </c>
      <c r="L122" s="2">
        <v>4.4000000000000004</v>
      </c>
      <c r="M122" s="2">
        <v>509484.81</v>
      </c>
      <c r="N122" s="2">
        <v>85742.36</v>
      </c>
      <c r="O122">
        <f t="shared" si="6"/>
        <v>1</v>
      </c>
      <c r="P122">
        <f t="shared" si="7"/>
        <v>0</v>
      </c>
      <c r="Q122">
        <f t="shared" si="8"/>
        <v>0</v>
      </c>
      <c r="R122">
        <f t="shared" si="9"/>
        <v>1</v>
      </c>
      <c r="S122">
        <f t="shared" si="10"/>
        <v>0</v>
      </c>
      <c r="T122">
        <f t="shared" si="11"/>
        <v>0</v>
      </c>
    </row>
    <row r="123" spans="1:20">
      <c r="A123" s="2" t="s">
        <v>52</v>
      </c>
      <c r="B123" s="3">
        <v>45689</v>
      </c>
      <c r="C123" s="2" t="s">
        <v>20</v>
      </c>
      <c r="D123" s="2" t="s">
        <v>18</v>
      </c>
      <c r="E123" s="2">
        <v>83044.17</v>
      </c>
      <c r="F123" s="2">
        <v>3694</v>
      </c>
      <c r="G123" s="2">
        <v>0</v>
      </c>
      <c r="H123" s="2">
        <v>14</v>
      </c>
      <c r="I123" s="2">
        <v>89.4</v>
      </c>
      <c r="J123" s="2">
        <v>2.2000000000000002</v>
      </c>
      <c r="K123" s="2">
        <v>0</v>
      </c>
      <c r="L123" s="2">
        <v>3.7</v>
      </c>
      <c r="M123" s="2">
        <v>654317.09</v>
      </c>
      <c r="N123" s="2">
        <v>121446.89</v>
      </c>
      <c r="O123">
        <f t="shared" si="6"/>
        <v>1</v>
      </c>
      <c r="P123">
        <f t="shared" si="7"/>
        <v>0</v>
      </c>
      <c r="Q123">
        <f t="shared" si="8"/>
        <v>0</v>
      </c>
      <c r="R123">
        <f t="shared" si="9"/>
        <v>1</v>
      </c>
      <c r="S123">
        <f t="shared" si="10"/>
        <v>0</v>
      </c>
      <c r="T123">
        <f t="shared" si="11"/>
        <v>0</v>
      </c>
    </row>
    <row r="124" spans="1:20">
      <c r="A124" s="2" t="s">
        <v>52</v>
      </c>
      <c r="B124" s="3">
        <v>45717</v>
      </c>
      <c r="C124" s="2" t="s">
        <v>20</v>
      </c>
      <c r="D124" s="2" t="s">
        <v>18</v>
      </c>
      <c r="E124" s="2">
        <v>48396.13</v>
      </c>
      <c r="F124" s="2">
        <v>4423</v>
      </c>
      <c r="G124" s="2">
        <v>6.9000000000000006E-2</v>
      </c>
      <c r="H124" s="2">
        <v>15</v>
      </c>
      <c r="I124" s="2">
        <v>85.7</v>
      </c>
      <c r="J124" s="2">
        <v>1.88</v>
      </c>
      <c r="K124" s="2">
        <v>0</v>
      </c>
      <c r="L124" s="2">
        <v>3.9</v>
      </c>
      <c r="M124" s="2">
        <v>557487.26</v>
      </c>
      <c r="N124" s="2">
        <v>76432.19</v>
      </c>
      <c r="O124">
        <f t="shared" si="6"/>
        <v>1</v>
      </c>
      <c r="P124">
        <f t="shared" si="7"/>
        <v>0</v>
      </c>
      <c r="Q124">
        <f t="shared" si="8"/>
        <v>0</v>
      </c>
      <c r="R124">
        <f t="shared" si="9"/>
        <v>1</v>
      </c>
      <c r="S124">
        <f t="shared" si="10"/>
        <v>0</v>
      </c>
      <c r="T124">
        <f t="shared" si="11"/>
        <v>0</v>
      </c>
    </row>
    <row r="125" spans="1:20">
      <c r="A125" s="2" t="s">
        <v>52</v>
      </c>
      <c r="B125" s="3">
        <v>45748</v>
      </c>
      <c r="C125" s="2" t="s">
        <v>20</v>
      </c>
      <c r="D125" s="2" t="s">
        <v>18</v>
      </c>
      <c r="E125" s="2">
        <v>19063.48</v>
      </c>
      <c r="F125" s="2">
        <v>1906</v>
      </c>
      <c r="G125" s="2">
        <v>0.216</v>
      </c>
      <c r="H125" s="2">
        <v>10</v>
      </c>
      <c r="I125" s="2">
        <v>97.8</v>
      </c>
      <c r="J125" s="2">
        <v>15.79</v>
      </c>
      <c r="K125" s="2">
        <v>0</v>
      </c>
      <c r="L125" s="2">
        <v>4.4000000000000004</v>
      </c>
      <c r="M125" s="2">
        <v>441275.42</v>
      </c>
      <c r="N125" s="2">
        <v>58234.87</v>
      </c>
      <c r="O125">
        <f t="shared" si="6"/>
        <v>1</v>
      </c>
      <c r="P125">
        <f t="shared" si="7"/>
        <v>0</v>
      </c>
      <c r="Q125">
        <f t="shared" si="8"/>
        <v>0</v>
      </c>
      <c r="R125">
        <f t="shared" si="9"/>
        <v>1</v>
      </c>
      <c r="S125">
        <f t="shared" si="10"/>
        <v>0</v>
      </c>
      <c r="T125">
        <f t="shared" si="11"/>
        <v>0</v>
      </c>
    </row>
    <row r="126" spans="1:20">
      <c r="A126" s="2" t="s">
        <v>53</v>
      </c>
      <c r="B126" s="3">
        <v>45658</v>
      </c>
      <c r="C126" s="2" t="s">
        <v>24</v>
      </c>
      <c r="D126" s="2" t="s">
        <v>18</v>
      </c>
      <c r="E126" s="2">
        <v>61541.21</v>
      </c>
      <c r="F126" s="2">
        <v>10396</v>
      </c>
      <c r="G126" s="2">
        <v>0.123</v>
      </c>
      <c r="H126" s="2">
        <v>25</v>
      </c>
      <c r="I126" s="2">
        <v>88.1</v>
      </c>
      <c r="J126" s="2">
        <v>2.34</v>
      </c>
      <c r="K126" s="2">
        <v>1</v>
      </c>
      <c r="L126" s="2">
        <v>4.8</v>
      </c>
      <c r="M126" s="2">
        <v>914544.17</v>
      </c>
      <c r="N126" s="2">
        <v>79831.73</v>
      </c>
      <c r="O126">
        <f t="shared" si="6"/>
        <v>0</v>
      </c>
      <c r="P126">
        <f t="shared" si="7"/>
        <v>1</v>
      </c>
      <c r="Q126">
        <f t="shared" si="8"/>
        <v>0</v>
      </c>
      <c r="R126">
        <f t="shared" si="9"/>
        <v>1</v>
      </c>
      <c r="S126">
        <f t="shared" si="10"/>
        <v>0</v>
      </c>
      <c r="T126">
        <f t="shared" si="11"/>
        <v>0</v>
      </c>
    </row>
    <row r="127" spans="1:20">
      <c r="A127" s="2" t="s">
        <v>53</v>
      </c>
      <c r="B127" s="3">
        <v>45689</v>
      </c>
      <c r="C127" s="2" t="s">
        <v>24</v>
      </c>
      <c r="D127" s="2" t="s">
        <v>18</v>
      </c>
      <c r="E127" s="2">
        <v>44747</v>
      </c>
      <c r="F127" s="2">
        <v>11076</v>
      </c>
      <c r="G127" s="2">
        <v>0.17599999999999999</v>
      </c>
      <c r="H127" s="2">
        <v>27</v>
      </c>
      <c r="I127" s="2">
        <v>98.3</v>
      </c>
      <c r="J127" s="2">
        <v>0.54</v>
      </c>
      <c r="K127" s="2">
        <v>0</v>
      </c>
      <c r="L127" s="2">
        <v>4.4000000000000004</v>
      </c>
      <c r="M127" s="2">
        <v>842439.67</v>
      </c>
      <c r="N127" s="2">
        <v>169983.63</v>
      </c>
      <c r="O127">
        <f t="shared" si="6"/>
        <v>0</v>
      </c>
      <c r="P127">
        <f t="shared" si="7"/>
        <v>1</v>
      </c>
      <c r="Q127">
        <f t="shared" si="8"/>
        <v>0</v>
      </c>
      <c r="R127">
        <f t="shared" si="9"/>
        <v>1</v>
      </c>
      <c r="S127">
        <f t="shared" si="10"/>
        <v>0</v>
      </c>
      <c r="T127">
        <f t="shared" si="11"/>
        <v>0</v>
      </c>
    </row>
    <row r="128" spans="1:20">
      <c r="A128" s="2" t="s">
        <v>53</v>
      </c>
      <c r="B128" s="3">
        <v>45717</v>
      </c>
      <c r="C128" s="2" t="s">
        <v>24</v>
      </c>
      <c r="D128" s="2" t="s">
        <v>18</v>
      </c>
      <c r="E128" s="2">
        <v>56517.9</v>
      </c>
      <c r="F128" s="2">
        <v>9574</v>
      </c>
      <c r="G128" s="2">
        <v>0.20399999999999999</v>
      </c>
      <c r="H128" s="2">
        <v>20</v>
      </c>
      <c r="I128" s="2">
        <v>88.2</v>
      </c>
      <c r="J128" s="2">
        <v>5.37</v>
      </c>
      <c r="K128" s="2">
        <v>1</v>
      </c>
      <c r="L128" s="2">
        <v>4.9000000000000004</v>
      </c>
      <c r="M128" s="2">
        <v>842157.92</v>
      </c>
      <c r="N128" s="2">
        <v>107348.22</v>
      </c>
      <c r="O128">
        <f t="shared" si="6"/>
        <v>0</v>
      </c>
      <c r="P128">
        <f t="shared" si="7"/>
        <v>1</v>
      </c>
      <c r="Q128">
        <f t="shared" si="8"/>
        <v>0</v>
      </c>
      <c r="R128">
        <f t="shared" si="9"/>
        <v>1</v>
      </c>
      <c r="S128">
        <f t="shared" si="10"/>
        <v>0</v>
      </c>
      <c r="T128">
        <f t="shared" si="11"/>
        <v>0</v>
      </c>
    </row>
    <row r="129" spans="1:20">
      <c r="A129" s="2" t="s">
        <v>53</v>
      </c>
      <c r="B129" s="3">
        <v>45748</v>
      </c>
      <c r="C129" s="2" t="s">
        <v>24</v>
      </c>
      <c r="D129" s="2" t="s">
        <v>18</v>
      </c>
      <c r="E129" s="2">
        <v>37828.5</v>
      </c>
      <c r="F129" s="2">
        <v>8221</v>
      </c>
      <c r="G129" s="2">
        <v>9.6000000000000002E-2</v>
      </c>
      <c r="H129" s="2">
        <v>19</v>
      </c>
      <c r="I129" s="2">
        <v>81.5</v>
      </c>
      <c r="J129" s="2">
        <v>3.19</v>
      </c>
      <c r="K129" s="2">
        <v>0</v>
      </c>
      <c r="L129" s="2">
        <v>4.8</v>
      </c>
      <c r="M129" s="2">
        <v>697155.3</v>
      </c>
      <c r="N129" s="2">
        <v>136408.54</v>
      </c>
      <c r="O129">
        <f t="shared" si="6"/>
        <v>0</v>
      </c>
      <c r="P129">
        <f t="shared" si="7"/>
        <v>1</v>
      </c>
      <c r="Q129">
        <f t="shared" si="8"/>
        <v>0</v>
      </c>
      <c r="R129">
        <f t="shared" si="9"/>
        <v>1</v>
      </c>
      <c r="S129">
        <f t="shared" si="10"/>
        <v>0</v>
      </c>
      <c r="T129">
        <f t="shared" si="11"/>
        <v>0</v>
      </c>
    </row>
    <row r="130" spans="1:20">
      <c r="A130" s="2" t="s">
        <v>54</v>
      </c>
      <c r="B130" s="3">
        <v>45658</v>
      </c>
      <c r="C130" s="2" t="s">
        <v>15</v>
      </c>
      <c r="D130" s="2" t="s">
        <v>18</v>
      </c>
      <c r="E130" s="2">
        <v>66250.53</v>
      </c>
      <c r="F130" s="2">
        <v>10618</v>
      </c>
      <c r="G130" s="2">
        <v>0.14199999999999999</v>
      </c>
      <c r="H130" s="2">
        <v>27</v>
      </c>
      <c r="I130" s="2">
        <v>88.3</v>
      </c>
      <c r="J130" s="2">
        <v>1.1000000000000001</v>
      </c>
      <c r="K130" s="2">
        <v>1</v>
      </c>
      <c r="L130" s="2">
        <v>4.4000000000000004</v>
      </c>
      <c r="M130" s="2">
        <v>849018.3</v>
      </c>
      <c r="N130" s="2">
        <v>149035.13</v>
      </c>
      <c r="O130">
        <f t="shared" si="6"/>
        <v>0</v>
      </c>
      <c r="P130">
        <f t="shared" si="7"/>
        <v>0</v>
      </c>
      <c r="Q130">
        <f t="shared" si="8"/>
        <v>0</v>
      </c>
      <c r="R130">
        <f t="shared" si="9"/>
        <v>1</v>
      </c>
      <c r="S130">
        <f t="shared" si="10"/>
        <v>0</v>
      </c>
      <c r="T130">
        <f t="shared" si="11"/>
        <v>0</v>
      </c>
    </row>
    <row r="131" spans="1:20">
      <c r="A131" s="2" t="s">
        <v>54</v>
      </c>
      <c r="B131" s="3">
        <v>45689</v>
      </c>
      <c r="C131" s="2" t="s">
        <v>15</v>
      </c>
      <c r="D131" s="2" t="s">
        <v>18</v>
      </c>
      <c r="E131" s="2">
        <v>68410.929999999993</v>
      </c>
      <c r="F131" s="2">
        <v>10596</v>
      </c>
      <c r="G131" s="2">
        <v>0.20699999999999999</v>
      </c>
      <c r="H131" s="2">
        <v>25</v>
      </c>
      <c r="I131" s="2">
        <v>81.2</v>
      </c>
      <c r="J131" s="2">
        <v>0.21</v>
      </c>
      <c r="K131" s="2">
        <v>0</v>
      </c>
      <c r="L131" s="2">
        <v>4</v>
      </c>
      <c r="M131" s="2">
        <v>801830.35</v>
      </c>
      <c r="N131" s="2">
        <v>114875.32</v>
      </c>
      <c r="O131">
        <f t="shared" ref="O131:O194" si="12">IF($C131="North", 1, 0)</f>
        <v>0</v>
      </c>
      <c r="P131">
        <f t="shared" ref="P131:P194" si="13">IF($C131="South", 1, 0)</f>
        <v>0</v>
      </c>
      <c r="Q131">
        <f t="shared" ref="Q131:Q194" si="14">IF($C131="West", 1, 0)</f>
        <v>0</v>
      </c>
      <c r="R131">
        <f t="shared" ref="R131:R194" si="15">IF($D131="High Street", 1, 0)</f>
        <v>1</v>
      </c>
      <c r="S131">
        <f t="shared" ref="S131:S194" si="16">IF($D131="Airport", 1, 0)</f>
        <v>0</v>
      </c>
      <c r="T131">
        <f t="shared" ref="T131:T194" si="17">IF($D131="Mall", 1, 0)</f>
        <v>0</v>
      </c>
    </row>
    <row r="132" spans="1:20">
      <c r="A132" s="2" t="s">
        <v>54</v>
      </c>
      <c r="B132" s="3">
        <v>45717</v>
      </c>
      <c r="C132" s="2" t="s">
        <v>15</v>
      </c>
      <c r="D132" s="2" t="s">
        <v>18</v>
      </c>
      <c r="E132" s="2">
        <v>50735.63</v>
      </c>
      <c r="F132" s="2">
        <v>9619</v>
      </c>
      <c r="G132" s="2">
        <v>0.14399999999999999</v>
      </c>
      <c r="H132" s="2">
        <v>19</v>
      </c>
      <c r="I132" s="2">
        <v>93.8</v>
      </c>
      <c r="J132" s="2">
        <v>5.12</v>
      </c>
      <c r="K132" s="2">
        <v>1</v>
      </c>
      <c r="L132" s="2">
        <v>4.5</v>
      </c>
      <c r="M132" s="2">
        <v>725235.28</v>
      </c>
      <c r="N132" s="2">
        <v>121632.24</v>
      </c>
      <c r="O132">
        <f t="shared" si="12"/>
        <v>0</v>
      </c>
      <c r="P132">
        <f t="shared" si="13"/>
        <v>0</v>
      </c>
      <c r="Q132">
        <f t="shared" si="14"/>
        <v>0</v>
      </c>
      <c r="R132">
        <f t="shared" si="15"/>
        <v>1</v>
      </c>
      <c r="S132">
        <f t="shared" si="16"/>
        <v>0</v>
      </c>
      <c r="T132">
        <f t="shared" si="17"/>
        <v>0</v>
      </c>
    </row>
    <row r="133" spans="1:20">
      <c r="A133" s="2" t="s">
        <v>54</v>
      </c>
      <c r="B133" s="3">
        <v>45748</v>
      </c>
      <c r="C133" s="2" t="s">
        <v>15</v>
      </c>
      <c r="D133" s="2" t="s">
        <v>18</v>
      </c>
      <c r="E133" s="2">
        <v>66455.8</v>
      </c>
      <c r="F133" s="2">
        <v>10836</v>
      </c>
      <c r="G133" s="2">
        <v>8.8999999999999996E-2</v>
      </c>
      <c r="H133" s="2">
        <v>25</v>
      </c>
      <c r="I133" s="2">
        <v>85</v>
      </c>
      <c r="J133" s="2">
        <v>9.77</v>
      </c>
      <c r="K133" s="2">
        <v>0</v>
      </c>
      <c r="L133" s="2">
        <v>4.5</v>
      </c>
      <c r="M133" s="2">
        <v>811452.72</v>
      </c>
      <c r="N133" s="2">
        <v>131325.67000000001</v>
      </c>
      <c r="O133">
        <f t="shared" si="12"/>
        <v>0</v>
      </c>
      <c r="P133">
        <f t="shared" si="13"/>
        <v>0</v>
      </c>
      <c r="Q133">
        <f t="shared" si="14"/>
        <v>0</v>
      </c>
      <c r="R133">
        <f t="shared" si="15"/>
        <v>1</v>
      </c>
      <c r="S133">
        <f t="shared" si="16"/>
        <v>0</v>
      </c>
      <c r="T133">
        <f t="shared" si="17"/>
        <v>0</v>
      </c>
    </row>
    <row r="134" spans="1:20">
      <c r="A134" s="2" t="s">
        <v>55</v>
      </c>
      <c r="B134" s="3">
        <v>45658</v>
      </c>
      <c r="C134" s="2" t="s">
        <v>20</v>
      </c>
      <c r="D134" s="2" t="s">
        <v>18</v>
      </c>
      <c r="E134" s="2">
        <v>70276.28</v>
      </c>
      <c r="F134" s="2">
        <v>3043</v>
      </c>
      <c r="G134" s="2">
        <v>7.9000000000000001E-2</v>
      </c>
      <c r="H134" s="2">
        <v>9</v>
      </c>
      <c r="I134" s="2">
        <v>87.9</v>
      </c>
      <c r="J134" s="2">
        <v>3.77</v>
      </c>
      <c r="K134" s="2">
        <v>0</v>
      </c>
      <c r="L134" s="2">
        <v>4.4000000000000004</v>
      </c>
      <c r="M134" s="2">
        <v>527300.13</v>
      </c>
      <c r="N134" s="2">
        <v>84197.87</v>
      </c>
      <c r="O134">
        <f t="shared" si="12"/>
        <v>1</v>
      </c>
      <c r="P134">
        <f t="shared" si="13"/>
        <v>0</v>
      </c>
      <c r="Q134">
        <f t="shared" si="14"/>
        <v>0</v>
      </c>
      <c r="R134">
        <f t="shared" si="15"/>
        <v>1</v>
      </c>
      <c r="S134">
        <f t="shared" si="16"/>
        <v>0</v>
      </c>
      <c r="T134">
        <f t="shared" si="17"/>
        <v>0</v>
      </c>
    </row>
    <row r="135" spans="1:20">
      <c r="A135" s="2" t="s">
        <v>55</v>
      </c>
      <c r="B135" s="3">
        <v>45689</v>
      </c>
      <c r="C135" s="2" t="s">
        <v>20</v>
      </c>
      <c r="D135" s="2" t="s">
        <v>18</v>
      </c>
      <c r="E135" s="2">
        <v>22071.64</v>
      </c>
      <c r="F135" s="2">
        <v>1814</v>
      </c>
      <c r="G135" s="2">
        <v>0.19600000000000001</v>
      </c>
      <c r="H135" s="2">
        <v>8</v>
      </c>
      <c r="I135" s="2">
        <v>81.099999999999994</v>
      </c>
      <c r="J135" s="2">
        <v>0.78</v>
      </c>
      <c r="K135" s="2">
        <v>0</v>
      </c>
      <c r="L135" s="2"/>
      <c r="M135" s="2">
        <v>400831.65</v>
      </c>
      <c r="N135" s="2">
        <v>70979.31</v>
      </c>
      <c r="O135">
        <f t="shared" si="12"/>
        <v>1</v>
      </c>
      <c r="P135">
        <f t="shared" si="13"/>
        <v>0</v>
      </c>
      <c r="Q135">
        <f t="shared" si="14"/>
        <v>0</v>
      </c>
      <c r="R135">
        <f t="shared" si="15"/>
        <v>1</v>
      </c>
      <c r="S135">
        <f t="shared" si="16"/>
        <v>0</v>
      </c>
      <c r="T135">
        <f t="shared" si="17"/>
        <v>0</v>
      </c>
    </row>
    <row r="136" spans="1:20">
      <c r="A136" s="2" t="s">
        <v>55</v>
      </c>
      <c r="B136" s="3">
        <v>45717</v>
      </c>
      <c r="C136" s="2" t="s">
        <v>20</v>
      </c>
      <c r="D136" s="2" t="s">
        <v>18</v>
      </c>
      <c r="E136" s="2">
        <v>52285.45</v>
      </c>
      <c r="F136" s="2">
        <v>3618</v>
      </c>
      <c r="G136" s="2">
        <v>8.5999999999999993E-2</v>
      </c>
      <c r="H136" s="2">
        <v>11</v>
      </c>
      <c r="I136" s="2">
        <v>95.6</v>
      </c>
      <c r="J136" s="2">
        <v>5.17</v>
      </c>
      <c r="K136" s="2">
        <v>1</v>
      </c>
      <c r="L136" s="2">
        <v>4.4000000000000004</v>
      </c>
      <c r="M136" s="2">
        <v>593247.25</v>
      </c>
      <c r="N136" s="2">
        <v>81240.289999999994</v>
      </c>
      <c r="O136">
        <f t="shared" si="12"/>
        <v>1</v>
      </c>
      <c r="P136">
        <f t="shared" si="13"/>
        <v>0</v>
      </c>
      <c r="Q136">
        <f t="shared" si="14"/>
        <v>0</v>
      </c>
      <c r="R136">
        <f t="shared" si="15"/>
        <v>1</v>
      </c>
      <c r="S136">
        <f t="shared" si="16"/>
        <v>0</v>
      </c>
      <c r="T136">
        <f t="shared" si="17"/>
        <v>0</v>
      </c>
    </row>
    <row r="137" spans="1:20">
      <c r="A137" s="2" t="s">
        <v>55</v>
      </c>
      <c r="B137" s="3">
        <v>45748</v>
      </c>
      <c r="C137" s="2" t="s">
        <v>20</v>
      </c>
      <c r="D137" s="2" t="s">
        <v>18</v>
      </c>
      <c r="E137" s="2">
        <v>70366.759999999995</v>
      </c>
      <c r="F137" s="2">
        <v>1963</v>
      </c>
      <c r="G137" s="2">
        <v>0.182</v>
      </c>
      <c r="H137" s="2">
        <v>8</v>
      </c>
      <c r="I137" s="2">
        <v>89.8</v>
      </c>
      <c r="J137" s="2">
        <v>3.2</v>
      </c>
      <c r="K137" s="2">
        <v>0</v>
      </c>
      <c r="L137" s="2">
        <v>4.5999999999999996</v>
      </c>
      <c r="M137" s="2">
        <v>529075.94999999995</v>
      </c>
      <c r="N137" s="2">
        <v>95978.83</v>
      </c>
      <c r="O137">
        <f t="shared" si="12"/>
        <v>1</v>
      </c>
      <c r="P137">
        <f t="shared" si="13"/>
        <v>0</v>
      </c>
      <c r="Q137">
        <f t="shared" si="14"/>
        <v>0</v>
      </c>
      <c r="R137">
        <f t="shared" si="15"/>
        <v>1</v>
      </c>
      <c r="S137">
        <f t="shared" si="16"/>
        <v>0</v>
      </c>
      <c r="T137">
        <f t="shared" si="17"/>
        <v>0</v>
      </c>
    </row>
    <row r="138" spans="1:20">
      <c r="A138" s="2" t="s">
        <v>56</v>
      </c>
      <c r="B138" s="3">
        <v>45658</v>
      </c>
      <c r="C138" s="2" t="s">
        <v>24</v>
      </c>
      <c r="D138" s="2" t="s">
        <v>16</v>
      </c>
      <c r="E138" s="2">
        <v>71320.66</v>
      </c>
      <c r="F138" s="2">
        <v>7888</v>
      </c>
      <c r="G138" s="2">
        <v>4.8000000000000001E-2</v>
      </c>
      <c r="H138" s="2">
        <v>20</v>
      </c>
      <c r="I138" s="2">
        <v>78.099999999999994</v>
      </c>
      <c r="J138" s="2">
        <v>3.4</v>
      </c>
      <c r="K138" s="2">
        <v>0</v>
      </c>
      <c r="L138" s="2"/>
      <c r="M138" s="2">
        <v>633638.03</v>
      </c>
      <c r="N138" s="2">
        <v>99402.01</v>
      </c>
      <c r="O138">
        <f t="shared" si="12"/>
        <v>0</v>
      </c>
      <c r="P138">
        <f t="shared" si="13"/>
        <v>1</v>
      </c>
      <c r="Q138">
        <f t="shared" si="14"/>
        <v>0</v>
      </c>
      <c r="R138">
        <f t="shared" si="15"/>
        <v>0</v>
      </c>
      <c r="S138">
        <f t="shared" si="16"/>
        <v>0</v>
      </c>
      <c r="T138">
        <f t="shared" si="17"/>
        <v>0</v>
      </c>
    </row>
    <row r="139" spans="1:20">
      <c r="A139" s="2" t="s">
        <v>56</v>
      </c>
      <c r="B139" s="3">
        <v>45689</v>
      </c>
      <c r="C139" s="2" t="s">
        <v>24</v>
      </c>
      <c r="D139" s="2" t="s">
        <v>16</v>
      </c>
      <c r="E139" s="2">
        <v>75109.67</v>
      </c>
      <c r="F139" s="2">
        <v>6244</v>
      </c>
      <c r="G139" s="2">
        <v>7.9000000000000001E-2</v>
      </c>
      <c r="H139" s="2">
        <v>15</v>
      </c>
      <c r="I139" s="2">
        <v>96.3</v>
      </c>
      <c r="J139" s="2">
        <v>7.38</v>
      </c>
      <c r="K139" s="2">
        <v>0</v>
      </c>
      <c r="L139" s="2">
        <v>3.7</v>
      </c>
      <c r="M139" s="2">
        <v>743348.84</v>
      </c>
      <c r="N139" s="2">
        <v>104186.09</v>
      </c>
      <c r="O139">
        <f t="shared" si="12"/>
        <v>0</v>
      </c>
      <c r="P139">
        <f t="shared" si="13"/>
        <v>1</v>
      </c>
      <c r="Q139">
        <f t="shared" si="14"/>
        <v>0</v>
      </c>
      <c r="R139">
        <f t="shared" si="15"/>
        <v>0</v>
      </c>
      <c r="S139">
        <f t="shared" si="16"/>
        <v>0</v>
      </c>
      <c r="T139">
        <f t="shared" si="17"/>
        <v>0</v>
      </c>
    </row>
    <row r="140" spans="1:20">
      <c r="A140" s="2" t="s">
        <v>56</v>
      </c>
      <c r="B140" s="3">
        <v>45717</v>
      </c>
      <c r="C140" s="2" t="s">
        <v>24</v>
      </c>
      <c r="D140" s="2" t="s">
        <v>16</v>
      </c>
      <c r="E140" s="2">
        <v>69779</v>
      </c>
      <c r="F140" s="2">
        <v>6544</v>
      </c>
      <c r="G140" s="2">
        <v>0.152</v>
      </c>
      <c r="H140" s="2">
        <v>18</v>
      </c>
      <c r="I140" s="2">
        <v>90.2</v>
      </c>
      <c r="J140" s="2">
        <v>0.85</v>
      </c>
      <c r="K140" s="2">
        <v>1</v>
      </c>
      <c r="L140" s="2">
        <v>3.3</v>
      </c>
      <c r="M140" s="2">
        <v>758827.64</v>
      </c>
      <c r="N140" s="2">
        <v>161439.48000000001</v>
      </c>
      <c r="O140">
        <f t="shared" si="12"/>
        <v>0</v>
      </c>
      <c r="P140">
        <f t="shared" si="13"/>
        <v>1</v>
      </c>
      <c r="Q140">
        <f t="shared" si="14"/>
        <v>0</v>
      </c>
      <c r="R140">
        <f t="shared" si="15"/>
        <v>0</v>
      </c>
      <c r="S140">
        <f t="shared" si="16"/>
        <v>0</v>
      </c>
      <c r="T140">
        <f t="shared" si="17"/>
        <v>0</v>
      </c>
    </row>
    <row r="141" spans="1:20">
      <c r="A141" s="2" t="s">
        <v>56</v>
      </c>
      <c r="B141" s="3">
        <v>45748</v>
      </c>
      <c r="C141" s="2" t="s">
        <v>24</v>
      </c>
      <c r="D141" s="2" t="s">
        <v>16</v>
      </c>
      <c r="E141" s="2">
        <v>44211.95</v>
      </c>
      <c r="F141" s="2">
        <v>5465</v>
      </c>
      <c r="G141" s="2">
        <v>0.187</v>
      </c>
      <c r="H141" s="2">
        <v>12</v>
      </c>
      <c r="I141" s="2">
        <v>90</v>
      </c>
      <c r="J141" s="2">
        <v>2.89</v>
      </c>
      <c r="K141" s="2">
        <v>0</v>
      </c>
      <c r="L141" s="2">
        <v>3.6</v>
      </c>
      <c r="M141" s="2">
        <v>646559.71</v>
      </c>
      <c r="N141" s="2">
        <v>97981.75</v>
      </c>
      <c r="O141">
        <f t="shared" si="12"/>
        <v>0</v>
      </c>
      <c r="P141">
        <f t="shared" si="13"/>
        <v>1</v>
      </c>
      <c r="Q141">
        <f t="shared" si="14"/>
        <v>0</v>
      </c>
      <c r="R141">
        <f t="shared" si="15"/>
        <v>0</v>
      </c>
      <c r="S141">
        <f t="shared" si="16"/>
        <v>0</v>
      </c>
      <c r="T141">
        <f t="shared" si="17"/>
        <v>0</v>
      </c>
    </row>
    <row r="142" spans="1:20">
      <c r="A142" s="2" t="s">
        <v>57</v>
      </c>
      <c r="B142" s="3">
        <v>45658</v>
      </c>
      <c r="C142" s="2" t="s">
        <v>27</v>
      </c>
      <c r="D142" s="2" t="s">
        <v>18</v>
      </c>
      <c r="E142" s="2">
        <v>51430.31</v>
      </c>
      <c r="F142" s="2">
        <v>6427</v>
      </c>
      <c r="G142" s="2">
        <v>0.23400000000000001</v>
      </c>
      <c r="H142" s="2">
        <v>14</v>
      </c>
      <c r="I142" s="2">
        <v>88.8</v>
      </c>
      <c r="J142" s="2">
        <v>0.77</v>
      </c>
      <c r="K142" s="2">
        <v>0</v>
      </c>
      <c r="L142" s="2">
        <v>4.0999999999999996</v>
      </c>
      <c r="M142" s="2">
        <v>715890.53</v>
      </c>
      <c r="N142" s="2">
        <v>109032.15</v>
      </c>
      <c r="O142">
        <f t="shared" si="12"/>
        <v>0</v>
      </c>
      <c r="P142">
        <f t="shared" si="13"/>
        <v>0</v>
      </c>
      <c r="Q142">
        <f t="shared" si="14"/>
        <v>1</v>
      </c>
      <c r="R142">
        <f t="shared" si="15"/>
        <v>1</v>
      </c>
      <c r="S142">
        <f t="shared" si="16"/>
        <v>0</v>
      </c>
      <c r="T142">
        <f t="shared" si="17"/>
        <v>0</v>
      </c>
    </row>
    <row r="143" spans="1:20">
      <c r="A143" s="2" t="s">
        <v>57</v>
      </c>
      <c r="B143" s="3">
        <v>45689</v>
      </c>
      <c r="C143" s="2" t="s">
        <v>27</v>
      </c>
      <c r="D143" s="2" t="s">
        <v>18</v>
      </c>
      <c r="E143" s="2">
        <v>45706.49</v>
      </c>
      <c r="F143" s="2">
        <v>6704</v>
      </c>
      <c r="G143" s="2">
        <v>3.7999999999999999E-2</v>
      </c>
      <c r="H143" s="2">
        <v>15</v>
      </c>
      <c r="I143" s="2">
        <v>94.2</v>
      </c>
      <c r="J143" s="2">
        <v>2.92</v>
      </c>
      <c r="K143" s="2">
        <v>0</v>
      </c>
      <c r="L143" s="2">
        <v>4.2</v>
      </c>
      <c r="M143" s="2">
        <v>715097.57</v>
      </c>
      <c r="N143" s="2">
        <v>151875.85999999999</v>
      </c>
      <c r="O143">
        <f t="shared" si="12"/>
        <v>0</v>
      </c>
      <c r="P143">
        <f t="shared" si="13"/>
        <v>0</v>
      </c>
      <c r="Q143">
        <f t="shared" si="14"/>
        <v>1</v>
      </c>
      <c r="R143">
        <f t="shared" si="15"/>
        <v>1</v>
      </c>
      <c r="S143">
        <f t="shared" si="16"/>
        <v>0</v>
      </c>
      <c r="T143">
        <f t="shared" si="17"/>
        <v>0</v>
      </c>
    </row>
    <row r="144" spans="1:20">
      <c r="A144" s="2" t="s">
        <v>57</v>
      </c>
      <c r="B144" s="3">
        <v>45717</v>
      </c>
      <c r="C144" s="2" t="s">
        <v>27</v>
      </c>
      <c r="D144" s="2" t="s">
        <v>18</v>
      </c>
      <c r="E144" s="2">
        <v>44034.6</v>
      </c>
      <c r="F144" s="2">
        <v>5645</v>
      </c>
      <c r="G144" s="2">
        <v>6.9000000000000006E-2</v>
      </c>
      <c r="H144" s="2">
        <v>18</v>
      </c>
      <c r="I144" s="2">
        <v>88.5</v>
      </c>
      <c r="J144" s="2">
        <v>3.07</v>
      </c>
      <c r="K144" s="2">
        <v>0</v>
      </c>
      <c r="L144" s="2">
        <v>3.8</v>
      </c>
      <c r="M144" s="2">
        <v>682639.28</v>
      </c>
      <c r="N144" s="2">
        <v>77557.53</v>
      </c>
      <c r="O144">
        <f t="shared" si="12"/>
        <v>0</v>
      </c>
      <c r="P144">
        <f t="shared" si="13"/>
        <v>0</v>
      </c>
      <c r="Q144">
        <f t="shared" si="14"/>
        <v>1</v>
      </c>
      <c r="R144">
        <f t="shared" si="15"/>
        <v>1</v>
      </c>
      <c r="S144">
        <f t="shared" si="16"/>
        <v>0</v>
      </c>
      <c r="T144">
        <f t="shared" si="17"/>
        <v>0</v>
      </c>
    </row>
    <row r="145" spans="1:20">
      <c r="A145" s="2" t="s">
        <v>57</v>
      </c>
      <c r="B145" s="3">
        <v>45748</v>
      </c>
      <c r="C145" s="2" t="s">
        <v>27</v>
      </c>
      <c r="D145" s="2" t="s">
        <v>18</v>
      </c>
      <c r="E145" s="2">
        <v>50198.12</v>
      </c>
      <c r="F145" s="2">
        <v>6089</v>
      </c>
      <c r="G145" s="2">
        <v>0.182</v>
      </c>
      <c r="H145" s="2">
        <v>19</v>
      </c>
      <c r="I145" s="2">
        <v>94</v>
      </c>
      <c r="J145" s="2">
        <v>9.6999999999999993</v>
      </c>
      <c r="K145" s="2">
        <v>0</v>
      </c>
      <c r="L145" s="2">
        <v>3.9</v>
      </c>
      <c r="M145" s="2">
        <v>695098.51</v>
      </c>
      <c r="N145" s="2">
        <v>108192.75</v>
      </c>
      <c r="O145">
        <f t="shared" si="12"/>
        <v>0</v>
      </c>
      <c r="P145">
        <f t="shared" si="13"/>
        <v>0</v>
      </c>
      <c r="Q145">
        <f t="shared" si="14"/>
        <v>1</v>
      </c>
      <c r="R145">
        <f t="shared" si="15"/>
        <v>1</v>
      </c>
      <c r="S145">
        <f t="shared" si="16"/>
        <v>0</v>
      </c>
      <c r="T145">
        <f t="shared" si="17"/>
        <v>0</v>
      </c>
    </row>
    <row r="146" spans="1:20">
      <c r="A146" s="2" t="s">
        <v>58</v>
      </c>
      <c r="B146" s="3">
        <v>45658</v>
      </c>
      <c r="C146" s="2" t="s">
        <v>20</v>
      </c>
      <c r="D146" s="2" t="s">
        <v>16</v>
      </c>
      <c r="E146" s="2">
        <v>70488.2</v>
      </c>
      <c r="F146" s="2">
        <v>4312</v>
      </c>
      <c r="G146" s="2">
        <v>0.16900000000000001</v>
      </c>
      <c r="H146" s="2">
        <v>12</v>
      </c>
      <c r="I146" s="2">
        <v>90.2</v>
      </c>
      <c r="J146" s="2">
        <v>3.71</v>
      </c>
      <c r="K146" s="2">
        <v>0</v>
      </c>
      <c r="L146" s="2">
        <v>3.2</v>
      </c>
      <c r="M146" s="2">
        <v>577732.56999999995</v>
      </c>
      <c r="N146" s="2">
        <v>93804.27</v>
      </c>
      <c r="O146">
        <f t="shared" si="12"/>
        <v>1</v>
      </c>
      <c r="P146">
        <f t="shared" si="13"/>
        <v>0</v>
      </c>
      <c r="Q146">
        <f t="shared" si="14"/>
        <v>0</v>
      </c>
      <c r="R146">
        <f t="shared" si="15"/>
        <v>0</v>
      </c>
      <c r="S146">
        <f t="shared" si="16"/>
        <v>0</v>
      </c>
      <c r="T146">
        <f t="shared" si="17"/>
        <v>0</v>
      </c>
    </row>
    <row r="147" spans="1:20">
      <c r="A147" s="2" t="s">
        <v>58</v>
      </c>
      <c r="B147" s="3">
        <v>45689</v>
      </c>
      <c r="C147" s="2" t="s">
        <v>20</v>
      </c>
      <c r="D147" s="2" t="s">
        <v>16</v>
      </c>
      <c r="E147" s="2">
        <v>50909.27</v>
      </c>
      <c r="F147" s="2">
        <v>3152</v>
      </c>
      <c r="G147" s="2">
        <v>0.06</v>
      </c>
      <c r="H147" s="2">
        <v>13</v>
      </c>
      <c r="I147" s="2">
        <v>93.7</v>
      </c>
      <c r="J147" s="2">
        <v>10.79</v>
      </c>
      <c r="K147" s="2">
        <v>0</v>
      </c>
      <c r="L147" s="2">
        <v>3.5</v>
      </c>
      <c r="M147" s="2">
        <v>537058.32999999996</v>
      </c>
      <c r="N147" s="2">
        <v>93555.71</v>
      </c>
      <c r="O147">
        <f t="shared" si="12"/>
        <v>1</v>
      </c>
      <c r="P147">
        <f t="shared" si="13"/>
        <v>0</v>
      </c>
      <c r="Q147">
        <f t="shared" si="14"/>
        <v>0</v>
      </c>
      <c r="R147">
        <f t="shared" si="15"/>
        <v>0</v>
      </c>
      <c r="S147">
        <f t="shared" si="16"/>
        <v>0</v>
      </c>
      <c r="T147">
        <f t="shared" si="17"/>
        <v>0</v>
      </c>
    </row>
    <row r="148" spans="1:20">
      <c r="A148" s="2" t="s">
        <v>58</v>
      </c>
      <c r="B148" s="3">
        <v>45717</v>
      </c>
      <c r="C148" s="2" t="s">
        <v>20</v>
      </c>
      <c r="D148" s="2" t="s">
        <v>16</v>
      </c>
      <c r="E148" s="2">
        <v>53351.7</v>
      </c>
      <c r="F148" s="2">
        <v>4259</v>
      </c>
      <c r="G148" s="2">
        <v>0.156</v>
      </c>
      <c r="H148" s="2">
        <v>15</v>
      </c>
      <c r="I148" s="2">
        <v>93.7</v>
      </c>
      <c r="J148" s="2">
        <v>6.03</v>
      </c>
      <c r="K148" s="2">
        <v>0</v>
      </c>
      <c r="L148" s="2">
        <v>3.4</v>
      </c>
      <c r="M148" s="2">
        <v>601568.87</v>
      </c>
      <c r="N148" s="2">
        <v>91634.82</v>
      </c>
      <c r="O148">
        <f t="shared" si="12"/>
        <v>1</v>
      </c>
      <c r="P148">
        <f t="shared" si="13"/>
        <v>0</v>
      </c>
      <c r="Q148">
        <f t="shared" si="14"/>
        <v>0</v>
      </c>
      <c r="R148">
        <f t="shared" si="15"/>
        <v>0</v>
      </c>
      <c r="S148">
        <f t="shared" si="16"/>
        <v>0</v>
      </c>
      <c r="T148">
        <f t="shared" si="17"/>
        <v>0</v>
      </c>
    </row>
    <row r="149" spans="1:20">
      <c r="A149" s="2" t="s">
        <v>58</v>
      </c>
      <c r="B149" s="3">
        <v>45748</v>
      </c>
      <c r="C149" s="2" t="s">
        <v>20</v>
      </c>
      <c r="D149" s="2" t="s">
        <v>16</v>
      </c>
      <c r="E149" s="2">
        <v>60322.400000000001</v>
      </c>
      <c r="F149" s="2">
        <v>3350</v>
      </c>
      <c r="G149" s="2">
        <v>0.108</v>
      </c>
      <c r="H149" s="2">
        <v>12</v>
      </c>
      <c r="I149" s="2">
        <v>89.4</v>
      </c>
      <c r="J149" s="2">
        <v>4.92</v>
      </c>
      <c r="K149" s="2">
        <v>0</v>
      </c>
      <c r="L149" s="2">
        <v>3.4</v>
      </c>
      <c r="M149" s="2">
        <v>570964.84</v>
      </c>
      <c r="N149" s="2">
        <v>81331.070000000007</v>
      </c>
      <c r="O149">
        <f t="shared" si="12"/>
        <v>1</v>
      </c>
      <c r="P149">
        <f t="shared" si="13"/>
        <v>0</v>
      </c>
      <c r="Q149">
        <f t="shared" si="14"/>
        <v>0</v>
      </c>
      <c r="R149">
        <f t="shared" si="15"/>
        <v>0</v>
      </c>
      <c r="S149">
        <f t="shared" si="16"/>
        <v>0</v>
      </c>
      <c r="T149">
        <f t="shared" si="17"/>
        <v>0</v>
      </c>
    </row>
    <row r="150" spans="1:20">
      <c r="A150" s="2" t="s">
        <v>59</v>
      </c>
      <c r="B150" s="3">
        <v>45658</v>
      </c>
      <c r="C150" s="2" t="s">
        <v>24</v>
      </c>
      <c r="D150" s="2" t="s">
        <v>28</v>
      </c>
      <c r="E150" s="2">
        <v>51575.68</v>
      </c>
      <c r="F150" s="2">
        <v>5329</v>
      </c>
      <c r="G150" s="2">
        <v>4.7E-2</v>
      </c>
      <c r="H150" s="2">
        <v>17</v>
      </c>
      <c r="I150" s="2">
        <v>88.1</v>
      </c>
      <c r="J150" s="2">
        <v>19.78</v>
      </c>
      <c r="K150" s="2">
        <v>0</v>
      </c>
      <c r="L150" s="2">
        <v>3.8</v>
      </c>
      <c r="M150" s="2">
        <v>614024.91</v>
      </c>
      <c r="N150" s="2">
        <v>84828.93</v>
      </c>
      <c r="O150">
        <f t="shared" si="12"/>
        <v>0</v>
      </c>
      <c r="P150">
        <f t="shared" si="13"/>
        <v>1</v>
      </c>
      <c r="Q150">
        <f t="shared" si="14"/>
        <v>0</v>
      </c>
      <c r="R150">
        <f t="shared" si="15"/>
        <v>0</v>
      </c>
      <c r="S150">
        <f t="shared" si="16"/>
        <v>0</v>
      </c>
      <c r="T150">
        <f t="shared" si="17"/>
        <v>1</v>
      </c>
    </row>
    <row r="151" spans="1:20">
      <c r="A151" s="2" t="s">
        <v>59</v>
      </c>
      <c r="B151" s="3">
        <v>45689</v>
      </c>
      <c r="C151" s="2" t="s">
        <v>24</v>
      </c>
      <c r="D151" s="2" t="s">
        <v>28</v>
      </c>
      <c r="E151" s="2">
        <v>43319.94</v>
      </c>
      <c r="F151" s="2">
        <v>6551</v>
      </c>
      <c r="G151" s="2">
        <v>4.3999999999999997E-2</v>
      </c>
      <c r="H151" s="2">
        <v>13</v>
      </c>
      <c r="I151" s="2">
        <v>99</v>
      </c>
      <c r="J151" s="2">
        <v>5.45</v>
      </c>
      <c r="K151" s="2">
        <v>0</v>
      </c>
      <c r="L151" s="2">
        <v>4.0999999999999996</v>
      </c>
      <c r="M151" s="2">
        <v>712868.35</v>
      </c>
      <c r="N151" s="2">
        <v>133650.51</v>
      </c>
      <c r="O151">
        <f t="shared" si="12"/>
        <v>0</v>
      </c>
      <c r="P151">
        <f t="shared" si="13"/>
        <v>1</v>
      </c>
      <c r="Q151">
        <f t="shared" si="14"/>
        <v>0</v>
      </c>
      <c r="R151">
        <f t="shared" si="15"/>
        <v>0</v>
      </c>
      <c r="S151">
        <f t="shared" si="16"/>
        <v>0</v>
      </c>
      <c r="T151">
        <f t="shared" si="17"/>
        <v>1</v>
      </c>
    </row>
    <row r="152" spans="1:20">
      <c r="A152" s="2" t="s">
        <v>59</v>
      </c>
      <c r="B152" s="3">
        <v>45717</v>
      </c>
      <c r="C152" s="2" t="s">
        <v>24</v>
      </c>
      <c r="D152" s="2" t="s">
        <v>28</v>
      </c>
      <c r="E152" s="2">
        <v>47093.55</v>
      </c>
      <c r="F152" s="2">
        <v>5550</v>
      </c>
      <c r="G152" s="2">
        <v>0.1</v>
      </c>
      <c r="H152" s="2">
        <v>12</v>
      </c>
      <c r="I152" s="2">
        <v>95</v>
      </c>
      <c r="J152" s="2">
        <v>2.33</v>
      </c>
      <c r="K152" s="2">
        <v>1</v>
      </c>
      <c r="L152" s="2">
        <v>3.7</v>
      </c>
      <c r="M152" s="2">
        <v>696744.15</v>
      </c>
      <c r="N152" s="2">
        <v>152230.09</v>
      </c>
      <c r="O152">
        <f t="shared" si="12"/>
        <v>0</v>
      </c>
      <c r="P152">
        <f t="shared" si="13"/>
        <v>1</v>
      </c>
      <c r="Q152">
        <f t="shared" si="14"/>
        <v>0</v>
      </c>
      <c r="R152">
        <f t="shared" si="15"/>
        <v>0</v>
      </c>
      <c r="S152">
        <f t="shared" si="16"/>
        <v>0</v>
      </c>
      <c r="T152">
        <f t="shared" si="17"/>
        <v>1</v>
      </c>
    </row>
    <row r="153" spans="1:20">
      <c r="A153" s="2" t="s">
        <v>59</v>
      </c>
      <c r="B153" s="3">
        <v>45748</v>
      </c>
      <c r="C153" s="2" t="s">
        <v>24</v>
      </c>
      <c r="D153" s="2" t="s">
        <v>28</v>
      </c>
      <c r="E153" s="2">
        <v>71855.09</v>
      </c>
      <c r="F153" s="2">
        <v>5911</v>
      </c>
      <c r="G153" s="2">
        <v>0.19700000000000001</v>
      </c>
      <c r="H153" s="2">
        <v>15</v>
      </c>
      <c r="I153" s="2">
        <v>94.3</v>
      </c>
      <c r="J153" s="2">
        <v>3.55</v>
      </c>
      <c r="K153" s="2">
        <v>0</v>
      </c>
      <c r="L153" s="2">
        <v>4.0999999999999996</v>
      </c>
      <c r="M153" s="2">
        <v>725847.99</v>
      </c>
      <c r="N153" s="2">
        <v>122698.73</v>
      </c>
      <c r="O153">
        <f t="shared" si="12"/>
        <v>0</v>
      </c>
      <c r="P153">
        <f t="shared" si="13"/>
        <v>1</v>
      </c>
      <c r="Q153">
        <f t="shared" si="14"/>
        <v>0</v>
      </c>
      <c r="R153">
        <f t="shared" si="15"/>
        <v>0</v>
      </c>
      <c r="S153">
        <f t="shared" si="16"/>
        <v>0</v>
      </c>
      <c r="T153">
        <f t="shared" si="17"/>
        <v>1</v>
      </c>
    </row>
    <row r="154" spans="1:20">
      <c r="A154" s="2" t="s">
        <v>60</v>
      </c>
      <c r="B154" s="3">
        <v>45658</v>
      </c>
      <c r="C154" s="2" t="s">
        <v>15</v>
      </c>
      <c r="D154" s="2" t="s">
        <v>18</v>
      </c>
      <c r="E154" s="2">
        <v>75645.23</v>
      </c>
      <c r="F154" s="2">
        <v>9674</v>
      </c>
      <c r="G154" s="2">
        <v>0.23400000000000001</v>
      </c>
      <c r="H154" s="2">
        <v>21</v>
      </c>
      <c r="I154" s="2">
        <v>87.4</v>
      </c>
      <c r="J154" s="2">
        <v>0.2</v>
      </c>
      <c r="K154" s="2">
        <v>0</v>
      </c>
      <c r="L154" s="2">
        <v>4.5</v>
      </c>
      <c r="M154" s="2">
        <v>785028.25</v>
      </c>
      <c r="N154" s="2">
        <v>110726.44</v>
      </c>
      <c r="O154">
        <f t="shared" si="12"/>
        <v>0</v>
      </c>
      <c r="P154">
        <f t="shared" si="13"/>
        <v>0</v>
      </c>
      <c r="Q154">
        <f t="shared" si="14"/>
        <v>0</v>
      </c>
      <c r="R154">
        <f t="shared" si="15"/>
        <v>1</v>
      </c>
      <c r="S154">
        <f t="shared" si="16"/>
        <v>0</v>
      </c>
      <c r="T154">
        <f t="shared" si="17"/>
        <v>0</v>
      </c>
    </row>
    <row r="155" spans="1:20">
      <c r="A155" s="2" t="s">
        <v>60</v>
      </c>
      <c r="B155" s="3">
        <v>45689</v>
      </c>
      <c r="C155" s="2" t="s">
        <v>15</v>
      </c>
      <c r="D155" s="2" t="s">
        <v>18</v>
      </c>
      <c r="E155" s="2">
        <v>64374.75</v>
      </c>
      <c r="F155" s="2">
        <v>6740</v>
      </c>
      <c r="G155" s="2">
        <v>0.16900000000000001</v>
      </c>
      <c r="H155" s="2">
        <v>18</v>
      </c>
      <c r="I155" s="2">
        <v>87</v>
      </c>
      <c r="J155" s="2">
        <v>2.09</v>
      </c>
      <c r="K155" s="2">
        <v>0</v>
      </c>
      <c r="L155" s="2">
        <v>4.2</v>
      </c>
      <c r="M155" s="2">
        <v>698492.67</v>
      </c>
      <c r="N155" s="2">
        <v>117319.32</v>
      </c>
      <c r="O155">
        <f t="shared" si="12"/>
        <v>0</v>
      </c>
      <c r="P155">
        <f t="shared" si="13"/>
        <v>0</v>
      </c>
      <c r="Q155">
        <f t="shared" si="14"/>
        <v>0</v>
      </c>
      <c r="R155">
        <f t="shared" si="15"/>
        <v>1</v>
      </c>
      <c r="S155">
        <f t="shared" si="16"/>
        <v>0</v>
      </c>
      <c r="T155">
        <f t="shared" si="17"/>
        <v>0</v>
      </c>
    </row>
    <row r="156" spans="1:20">
      <c r="A156" s="2" t="s">
        <v>60</v>
      </c>
      <c r="B156" s="3">
        <v>45717</v>
      </c>
      <c r="C156" s="2" t="s">
        <v>15</v>
      </c>
      <c r="D156" s="2" t="s">
        <v>18</v>
      </c>
      <c r="E156" s="2">
        <v>61433.84</v>
      </c>
      <c r="F156" s="2">
        <v>7745</v>
      </c>
      <c r="G156" s="2">
        <v>0.18</v>
      </c>
      <c r="H156" s="2">
        <v>16</v>
      </c>
      <c r="I156" s="2">
        <v>90.5</v>
      </c>
      <c r="J156" s="2">
        <v>2.2599999999999998</v>
      </c>
      <c r="K156" s="2">
        <v>0</v>
      </c>
      <c r="L156" s="2">
        <v>4.2</v>
      </c>
      <c r="M156" s="2">
        <v>685830.24</v>
      </c>
      <c r="N156" s="2">
        <v>128736.18</v>
      </c>
      <c r="O156">
        <f t="shared" si="12"/>
        <v>0</v>
      </c>
      <c r="P156">
        <f t="shared" si="13"/>
        <v>0</v>
      </c>
      <c r="Q156">
        <f t="shared" si="14"/>
        <v>0</v>
      </c>
      <c r="R156">
        <f t="shared" si="15"/>
        <v>1</v>
      </c>
      <c r="S156">
        <f t="shared" si="16"/>
        <v>0</v>
      </c>
      <c r="T156">
        <f t="shared" si="17"/>
        <v>0</v>
      </c>
    </row>
    <row r="157" spans="1:20">
      <c r="A157" s="2" t="s">
        <v>60</v>
      </c>
      <c r="B157" s="3">
        <v>45748</v>
      </c>
      <c r="C157" s="2" t="s">
        <v>15</v>
      </c>
      <c r="D157" s="2" t="s">
        <v>18</v>
      </c>
      <c r="E157" s="2">
        <v>42698.14</v>
      </c>
      <c r="F157" s="2">
        <v>7693</v>
      </c>
      <c r="G157" s="2">
        <v>0.187</v>
      </c>
      <c r="H157" s="2">
        <v>19</v>
      </c>
      <c r="I157" s="2">
        <v>90.1</v>
      </c>
      <c r="J157" s="2">
        <v>0.44</v>
      </c>
      <c r="K157" s="2">
        <v>0</v>
      </c>
      <c r="L157" s="2">
        <v>4.4000000000000004</v>
      </c>
      <c r="M157" s="2">
        <v>702318.94</v>
      </c>
      <c r="N157" s="2">
        <v>112829.29</v>
      </c>
      <c r="O157">
        <f t="shared" si="12"/>
        <v>0</v>
      </c>
      <c r="P157">
        <f t="shared" si="13"/>
        <v>0</v>
      </c>
      <c r="Q157">
        <f t="shared" si="14"/>
        <v>0</v>
      </c>
      <c r="R157">
        <f t="shared" si="15"/>
        <v>1</v>
      </c>
      <c r="S157">
        <f t="shared" si="16"/>
        <v>0</v>
      </c>
      <c r="T157">
        <f t="shared" si="17"/>
        <v>0</v>
      </c>
    </row>
    <row r="158" spans="1:20">
      <c r="A158" s="2" t="s">
        <v>61</v>
      </c>
      <c r="B158" s="3">
        <v>45658</v>
      </c>
      <c r="C158" s="2" t="s">
        <v>20</v>
      </c>
      <c r="D158" s="2" t="s">
        <v>28</v>
      </c>
      <c r="E158" s="2">
        <v>86883.31</v>
      </c>
      <c r="F158" s="2">
        <v>6424</v>
      </c>
      <c r="G158" s="2">
        <v>5.7000000000000002E-2</v>
      </c>
      <c r="H158" s="2">
        <v>19</v>
      </c>
      <c r="I158" s="2">
        <v>85.2</v>
      </c>
      <c r="J158" s="2">
        <v>3.08</v>
      </c>
      <c r="K158" s="2">
        <v>0</v>
      </c>
      <c r="L158" s="2">
        <v>3.9</v>
      </c>
      <c r="M158" s="2">
        <v>700078.32</v>
      </c>
      <c r="N158" s="2">
        <v>123707.58</v>
      </c>
      <c r="O158">
        <f t="shared" si="12"/>
        <v>1</v>
      </c>
      <c r="P158">
        <f t="shared" si="13"/>
        <v>0</v>
      </c>
      <c r="Q158">
        <f t="shared" si="14"/>
        <v>0</v>
      </c>
      <c r="R158">
        <f t="shared" si="15"/>
        <v>0</v>
      </c>
      <c r="S158">
        <f t="shared" si="16"/>
        <v>0</v>
      </c>
      <c r="T158">
        <f t="shared" si="17"/>
        <v>1</v>
      </c>
    </row>
    <row r="159" spans="1:20">
      <c r="A159" s="2" t="s">
        <v>61</v>
      </c>
      <c r="B159" s="3">
        <v>45689</v>
      </c>
      <c r="C159" s="2" t="s">
        <v>20</v>
      </c>
      <c r="D159" s="2" t="s">
        <v>28</v>
      </c>
      <c r="E159" s="2">
        <v>41863.08</v>
      </c>
      <c r="F159" s="2">
        <v>5400</v>
      </c>
      <c r="G159" s="2">
        <v>0.114</v>
      </c>
      <c r="H159" s="2">
        <v>11</v>
      </c>
      <c r="I159" s="2">
        <v>91.6</v>
      </c>
      <c r="J159" s="2">
        <v>7.99</v>
      </c>
      <c r="K159" s="2">
        <v>0</v>
      </c>
      <c r="L159" s="2">
        <v>3</v>
      </c>
      <c r="M159" s="2">
        <v>602002.31999999995</v>
      </c>
      <c r="N159" s="2">
        <v>110453.28</v>
      </c>
      <c r="O159">
        <f t="shared" si="12"/>
        <v>1</v>
      </c>
      <c r="P159">
        <f t="shared" si="13"/>
        <v>0</v>
      </c>
      <c r="Q159">
        <f t="shared" si="14"/>
        <v>0</v>
      </c>
      <c r="R159">
        <f t="shared" si="15"/>
        <v>0</v>
      </c>
      <c r="S159">
        <f t="shared" si="16"/>
        <v>0</v>
      </c>
      <c r="T159">
        <f t="shared" si="17"/>
        <v>1</v>
      </c>
    </row>
    <row r="160" spans="1:20">
      <c r="A160" s="2" t="s">
        <v>61</v>
      </c>
      <c r="B160" s="3">
        <v>45717</v>
      </c>
      <c r="C160" s="2" t="s">
        <v>20</v>
      </c>
      <c r="D160" s="2" t="s">
        <v>28</v>
      </c>
      <c r="E160" s="2">
        <v>56918.16</v>
      </c>
      <c r="F160" s="2">
        <v>7015</v>
      </c>
      <c r="G160" s="2">
        <v>0.158</v>
      </c>
      <c r="H160" s="2">
        <v>18</v>
      </c>
      <c r="I160" s="2">
        <v>74.2</v>
      </c>
      <c r="J160" s="2">
        <v>0.2</v>
      </c>
      <c r="K160" s="2">
        <v>0</v>
      </c>
      <c r="L160" s="2">
        <v>3.4</v>
      </c>
      <c r="M160" s="2">
        <v>724216.07</v>
      </c>
      <c r="N160" s="2">
        <v>100627.56</v>
      </c>
      <c r="O160">
        <f t="shared" si="12"/>
        <v>1</v>
      </c>
      <c r="P160">
        <f t="shared" si="13"/>
        <v>0</v>
      </c>
      <c r="Q160">
        <f t="shared" si="14"/>
        <v>0</v>
      </c>
      <c r="R160">
        <f t="shared" si="15"/>
        <v>0</v>
      </c>
      <c r="S160">
        <f t="shared" si="16"/>
        <v>0</v>
      </c>
      <c r="T160">
        <f t="shared" si="17"/>
        <v>1</v>
      </c>
    </row>
    <row r="161" spans="1:20">
      <c r="A161" s="2" t="s">
        <v>61</v>
      </c>
      <c r="B161" s="3">
        <v>45748</v>
      </c>
      <c r="C161" s="2" t="s">
        <v>20</v>
      </c>
      <c r="D161" s="2" t="s">
        <v>28</v>
      </c>
      <c r="E161" s="2">
        <v>23254.57</v>
      </c>
      <c r="F161" s="2">
        <v>3847</v>
      </c>
      <c r="G161" s="2">
        <v>0.159</v>
      </c>
      <c r="H161" s="2">
        <v>12</v>
      </c>
      <c r="I161" s="2">
        <v>93</v>
      </c>
      <c r="J161" s="2">
        <v>5.46</v>
      </c>
      <c r="K161" s="2">
        <v>0</v>
      </c>
      <c r="L161" s="2">
        <v>3.3</v>
      </c>
      <c r="M161" s="2">
        <v>620973.03</v>
      </c>
      <c r="N161" s="2">
        <v>72303.850000000006</v>
      </c>
      <c r="O161">
        <f t="shared" si="12"/>
        <v>1</v>
      </c>
      <c r="P161">
        <f t="shared" si="13"/>
        <v>0</v>
      </c>
      <c r="Q161">
        <f t="shared" si="14"/>
        <v>0</v>
      </c>
      <c r="R161">
        <f t="shared" si="15"/>
        <v>0</v>
      </c>
      <c r="S161">
        <f t="shared" si="16"/>
        <v>0</v>
      </c>
      <c r="T161">
        <f t="shared" si="17"/>
        <v>1</v>
      </c>
    </row>
    <row r="162" spans="1:20">
      <c r="A162" s="2" t="s">
        <v>62</v>
      </c>
      <c r="B162" s="3">
        <v>45658</v>
      </c>
      <c r="C162" s="2" t="s">
        <v>24</v>
      </c>
      <c r="D162" s="2" t="s">
        <v>18</v>
      </c>
      <c r="E162" s="2">
        <v>41443.410000000003</v>
      </c>
      <c r="F162" s="2">
        <v>7455</v>
      </c>
      <c r="G162" s="2">
        <v>0.17499999999999999</v>
      </c>
      <c r="H162" s="2">
        <v>16</v>
      </c>
      <c r="I162" s="2">
        <v>90.1</v>
      </c>
      <c r="J162" s="2">
        <v>4.05</v>
      </c>
      <c r="K162" s="2">
        <v>0</v>
      </c>
      <c r="L162" s="2">
        <v>4</v>
      </c>
      <c r="M162" s="2">
        <v>650480.06000000006</v>
      </c>
      <c r="N162" s="2">
        <v>109012.07</v>
      </c>
      <c r="O162">
        <f t="shared" si="12"/>
        <v>0</v>
      </c>
      <c r="P162">
        <f t="shared" si="13"/>
        <v>1</v>
      </c>
      <c r="Q162">
        <f t="shared" si="14"/>
        <v>0</v>
      </c>
      <c r="R162">
        <f t="shared" si="15"/>
        <v>1</v>
      </c>
      <c r="S162">
        <f t="shared" si="16"/>
        <v>0</v>
      </c>
      <c r="T162">
        <f t="shared" si="17"/>
        <v>0</v>
      </c>
    </row>
    <row r="163" spans="1:20">
      <c r="A163" s="2" t="s">
        <v>62</v>
      </c>
      <c r="B163" s="3">
        <v>45689</v>
      </c>
      <c r="C163" s="2" t="s">
        <v>24</v>
      </c>
      <c r="D163" s="2" t="s">
        <v>18</v>
      </c>
      <c r="E163" s="2">
        <v>48438.85</v>
      </c>
      <c r="F163" s="2">
        <v>6992</v>
      </c>
      <c r="G163" s="2">
        <v>3.4000000000000002E-2</v>
      </c>
      <c r="H163" s="2">
        <v>20</v>
      </c>
      <c r="I163" s="2">
        <v>91</v>
      </c>
      <c r="J163" s="2">
        <v>4.3600000000000003</v>
      </c>
      <c r="K163" s="2">
        <v>0</v>
      </c>
      <c r="L163" s="2">
        <v>4.2</v>
      </c>
      <c r="M163" s="2">
        <v>778298.88</v>
      </c>
      <c r="N163" s="2">
        <v>130076.72</v>
      </c>
      <c r="O163">
        <f t="shared" si="12"/>
        <v>0</v>
      </c>
      <c r="P163">
        <f t="shared" si="13"/>
        <v>1</v>
      </c>
      <c r="Q163">
        <f t="shared" si="14"/>
        <v>0</v>
      </c>
      <c r="R163">
        <f t="shared" si="15"/>
        <v>1</v>
      </c>
      <c r="S163">
        <f t="shared" si="16"/>
        <v>0</v>
      </c>
      <c r="T163">
        <f t="shared" si="17"/>
        <v>0</v>
      </c>
    </row>
    <row r="164" spans="1:20">
      <c r="A164" s="2" t="s">
        <v>62</v>
      </c>
      <c r="B164" s="3">
        <v>45717</v>
      </c>
      <c r="C164" s="2" t="s">
        <v>24</v>
      </c>
      <c r="D164" s="2" t="s">
        <v>18</v>
      </c>
      <c r="E164" s="2">
        <v>57143.3</v>
      </c>
      <c r="F164" s="2">
        <v>8038</v>
      </c>
      <c r="G164" s="2">
        <v>0.193</v>
      </c>
      <c r="H164" s="2">
        <v>17</v>
      </c>
      <c r="I164" s="2">
        <v>72.599999999999994</v>
      </c>
      <c r="J164" s="2"/>
      <c r="K164" s="2">
        <v>0</v>
      </c>
      <c r="L164" s="2">
        <v>4.2</v>
      </c>
      <c r="M164" s="2">
        <v>677096.71</v>
      </c>
      <c r="N164" s="2">
        <v>97174.11</v>
      </c>
      <c r="O164">
        <f t="shared" si="12"/>
        <v>0</v>
      </c>
      <c r="P164">
        <f t="shared" si="13"/>
        <v>1</v>
      </c>
      <c r="Q164">
        <f t="shared" si="14"/>
        <v>0</v>
      </c>
      <c r="R164">
        <f t="shared" si="15"/>
        <v>1</v>
      </c>
      <c r="S164">
        <f t="shared" si="16"/>
        <v>0</v>
      </c>
      <c r="T164">
        <f t="shared" si="17"/>
        <v>0</v>
      </c>
    </row>
    <row r="165" spans="1:20">
      <c r="A165" s="2" t="s">
        <v>62</v>
      </c>
      <c r="B165" s="3">
        <v>45748</v>
      </c>
      <c r="C165" s="2" t="s">
        <v>24</v>
      </c>
      <c r="D165" s="2" t="s">
        <v>18</v>
      </c>
      <c r="E165" s="2">
        <v>66870.62</v>
      </c>
      <c r="F165" s="2">
        <v>6055</v>
      </c>
      <c r="G165" s="2">
        <v>7.4999999999999997E-2</v>
      </c>
      <c r="H165" s="2">
        <v>19</v>
      </c>
      <c r="I165" s="2">
        <v>93.8</v>
      </c>
      <c r="J165" s="2">
        <v>0.54</v>
      </c>
      <c r="K165" s="2">
        <v>0</v>
      </c>
      <c r="L165" s="2">
        <v>4.3</v>
      </c>
      <c r="M165" s="2">
        <v>692008.64</v>
      </c>
      <c r="N165" s="2">
        <v>116337.87</v>
      </c>
      <c r="O165">
        <f t="shared" si="12"/>
        <v>0</v>
      </c>
      <c r="P165">
        <f t="shared" si="13"/>
        <v>1</v>
      </c>
      <c r="Q165">
        <f t="shared" si="14"/>
        <v>0</v>
      </c>
      <c r="R165">
        <f t="shared" si="15"/>
        <v>1</v>
      </c>
      <c r="S165">
        <f t="shared" si="16"/>
        <v>0</v>
      </c>
      <c r="T165">
        <f t="shared" si="17"/>
        <v>0</v>
      </c>
    </row>
    <row r="166" spans="1:20">
      <c r="A166" s="2" t="s">
        <v>63</v>
      </c>
      <c r="B166" s="3">
        <v>45658</v>
      </c>
      <c r="C166" s="2" t="s">
        <v>20</v>
      </c>
      <c r="D166" s="2" t="s">
        <v>28</v>
      </c>
      <c r="E166" s="2">
        <v>72150.53</v>
      </c>
      <c r="F166" s="2">
        <v>9323</v>
      </c>
      <c r="G166" s="2">
        <v>0.157</v>
      </c>
      <c r="H166" s="2">
        <v>22</v>
      </c>
      <c r="I166" s="2">
        <v>82.9</v>
      </c>
      <c r="J166" s="2">
        <v>11.37</v>
      </c>
      <c r="K166" s="2">
        <v>1</v>
      </c>
      <c r="L166" s="2">
        <v>4.3</v>
      </c>
      <c r="M166" s="2">
        <v>825797.91</v>
      </c>
      <c r="N166" s="2">
        <v>130945.24</v>
      </c>
      <c r="O166">
        <f t="shared" si="12"/>
        <v>1</v>
      </c>
      <c r="P166">
        <f t="shared" si="13"/>
        <v>0</v>
      </c>
      <c r="Q166">
        <f t="shared" si="14"/>
        <v>0</v>
      </c>
      <c r="R166">
        <f t="shared" si="15"/>
        <v>0</v>
      </c>
      <c r="S166">
        <f t="shared" si="16"/>
        <v>0</v>
      </c>
      <c r="T166">
        <f t="shared" si="17"/>
        <v>1</v>
      </c>
    </row>
    <row r="167" spans="1:20">
      <c r="A167" s="2" t="s">
        <v>63</v>
      </c>
      <c r="B167" s="3">
        <v>45689</v>
      </c>
      <c r="C167" s="2" t="s">
        <v>20</v>
      </c>
      <c r="D167" s="2" t="s">
        <v>28</v>
      </c>
      <c r="E167" s="2">
        <v>35303.300000000003</v>
      </c>
      <c r="F167" s="2">
        <v>8789</v>
      </c>
      <c r="G167" s="2">
        <v>0.123</v>
      </c>
      <c r="H167" s="2">
        <v>22</v>
      </c>
      <c r="I167" s="2">
        <v>86.1</v>
      </c>
      <c r="J167" s="2">
        <v>9.43</v>
      </c>
      <c r="K167" s="2">
        <v>0</v>
      </c>
      <c r="L167" s="2">
        <v>4.2</v>
      </c>
      <c r="M167" s="2">
        <v>706285.52</v>
      </c>
      <c r="N167" s="2">
        <v>138014.72</v>
      </c>
      <c r="O167">
        <f t="shared" si="12"/>
        <v>1</v>
      </c>
      <c r="P167">
        <f t="shared" si="13"/>
        <v>0</v>
      </c>
      <c r="Q167">
        <f t="shared" si="14"/>
        <v>0</v>
      </c>
      <c r="R167">
        <f t="shared" si="15"/>
        <v>0</v>
      </c>
      <c r="S167">
        <f t="shared" si="16"/>
        <v>0</v>
      </c>
      <c r="T167">
        <f t="shared" si="17"/>
        <v>1</v>
      </c>
    </row>
    <row r="168" spans="1:20">
      <c r="A168" s="2" t="s">
        <v>63</v>
      </c>
      <c r="B168" s="3">
        <v>45717</v>
      </c>
      <c r="C168" s="2" t="s">
        <v>20</v>
      </c>
      <c r="D168" s="2" t="s">
        <v>28</v>
      </c>
      <c r="E168" s="2">
        <v>30301.86</v>
      </c>
      <c r="F168" s="2">
        <v>6939</v>
      </c>
      <c r="G168" s="2">
        <v>0.09</v>
      </c>
      <c r="H168" s="2">
        <v>16</v>
      </c>
      <c r="I168" s="2">
        <v>90.3</v>
      </c>
      <c r="J168" s="2">
        <v>3.49</v>
      </c>
      <c r="K168" s="2">
        <v>0</v>
      </c>
      <c r="L168" s="2">
        <v>4</v>
      </c>
      <c r="M168" s="2">
        <v>665534.69999999995</v>
      </c>
      <c r="N168" s="2">
        <v>113167.73</v>
      </c>
      <c r="O168">
        <f t="shared" si="12"/>
        <v>1</v>
      </c>
      <c r="P168">
        <f t="shared" si="13"/>
        <v>0</v>
      </c>
      <c r="Q168">
        <f t="shared" si="14"/>
        <v>0</v>
      </c>
      <c r="R168">
        <f t="shared" si="15"/>
        <v>0</v>
      </c>
      <c r="S168">
        <f t="shared" si="16"/>
        <v>0</v>
      </c>
      <c r="T168">
        <f t="shared" si="17"/>
        <v>1</v>
      </c>
    </row>
    <row r="169" spans="1:20">
      <c r="A169" s="2" t="s">
        <v>63</v>
      </c>
      <c r="B169" s="3">
        <v>45748</v>
      </c>
      <c r="C169" s="2" t="s">
        <v>20</v>
      </c>
      <c r="D169" s="2" t="s">
        <v>28</v>
      </c>
      <c r="E169" s="2">
        <v>78432.14</v>
      </c>
      <c r="F169" s="2">
        <v>9440</v>
      </c>
      <c r="G169" s="2">
        <v>0.126</v>
      </c>
      <c r="H169" s="2">
        <v>23</v>
      </c>
      <c r="I169" s="2">
        <v>89.2</v>
      </c>
      <c r="J169" s="2">
        <v>7.86</v>
      </c>
      <c r="K169" s="2">
        <v>0</v>
      </c>
      <c r="L169" s="2">
        <v>4.0999999999999996</v>
      </c>
      <c r="M169" s="2">
        <v>820729.29</v>
      </c>
      <c r="N169" s="2">
        <v>159325.47</v>
      </c>
      <c r="O169">
        <f t="shared" si="12"/>
        <v>1</v>
      </c>
      <c r="P169">
        <f t="shared" si="13"/>
        <v>0</v>
      </c>
      <c r="Q169">
        <f t="shared" si="14"/>
        <v>0</v>
      </c>
      <c r="R169">
        <f t="shared" si="15"/>
        <v>0</v>
      </c>
      <c r="S169">
        <f t="shared" si="16"/>
        <v>0</v>
      </c>
      <c r="T169">
        <f t="shared" si="17"/>
        <v>1</v>
      </c>
    </row>
    <row r="170" spans="1:20">
      <c r="A170" s="2" t="s">
        <v>64</v>
      </c>
      <c r="B170" s="3">
        <v>45658</v>
      </c>
      <c r="C170" s="2" t="s">
        <v>15</v>
      </c>
      <c r="D170" s="2" t="s">
        <v>16</v>
      </c>
      <c r="E170" s="2">
        <v>62059.18</v>
      </c>
      <c r="F170" s="2">
        <v>9374</v>
      </c>
      <c r="G170" s="2">
        <v>0.13600000000000001</v>
      </c>
      <c r="H170" s="2">
        <v>25</v>
      </c>
      <c r="I170" s="2">
        <v>87.1</v>
      </c>
      <c r="J170" s="2">
        <v>12.55</v>
      </c>
      <c r="K170" s="2">
        <v>0</v>
      </c>
      <c r="L170" s="2">
        <v>4.9000000000000004</v>
      </c>
      <c r="M170" s="2">
        <v>739831.73</v>
      </c>
      <c r="N170" s="2">
        <v>119490.21</v>
      </c>
      <c r="O170">
        <f t="shared" si="12"/>
        <v>0</v>
      </c>
      <c r="P170">
        <f t="shared" si="13"/>
        <v>0</v>
      </c>
      <c r="Q170">
        <f t="shared" si="14"/>
        <v>0</v>
      </c>
      <c r="R170">
        <f t="shared" si="15"/>
        <v>0</v>
      </c>
      <c r="S170">
        <f t="shared" si="16"/>
        <v>0</v>
      </c>
      <c r="T170">
        <f t="shared" si="17"/>
        <v>0</v>
      </c>
    </row>
    <row r="171" spans="1:20">
      <c r="A171" s="2" t="s">
        <v>64</v>
      </c>
      <c r="B171" s="3">
        <v>45689</v>
      </c>
      <c r="C171" s="2" t="s">
        <v>15</v>
      </c>
      <c r="D171" s="2" t="s">
        <v>16</v>
      </c>
      <c r="E171" s="2">
        <v>32834.480000000003</v>
      </c>
      <c r="F171" s="2">
        <v>7576</v>
      </c>
      <c r="G171" s="2">
        <v>9.9000000000000005E-2</v>
      </c>
      <c r="H171" s="2">
        <v>15</v>
      </c>
      <c r="I171" s="2">
        <v>84.1</v>
      </c>
      <c r="J171" s="2">
        <v>3.48</v>
      </c>
      <c r="K171" s="2">
        <v>0</v>
      </c>
      <c r="L171" s="2">
        <v>5</v>
      </c>
      <c r="M171" s="2">
        <v>593637.14</v>
      </c>
      <c r="N171" s="2">
        <v>106648.14</v>
      </c>
      <c r="O171">
        <f t="shared" si="12"/>
        <v>0</v>
      </c>
      <c r="P171">
        <f t="shared" si="13"/>
        <v>0</v>
      </c>
      <c r="Q171">
        <f t="shared" si="14"/>
        <v>0</v>
      </c>
      <c r="R171">
        <f t="shared" si="15"/>
        <v>0</v>
      </c>
      <c r="S171">
        <f t="shared" si="16"/>
        <v>0</v>
      </c>
      <c r="T171">
        <f t="shared" si="17"/>
        <v>0</v>
      </c>
    </row>
    <row r="172" spans="1:20">
      <c r="A172" s="2" t="s">
        <v>64</v>
      </c>
      <c r="B172" s="3">
        <v>45717</v>
      </c>
      <c r="C172" s="2" t="s">
        <v>15</v>
      </c>
      <c r="D172" s="2" t="s">
        <v>16</v>
      </c>
      <c r="E172" s="2">
        <v>50825.08</v>
      </c>
      <c r="F172" s="2">
        <v>8949</v>
      </c>
      <c r="G172" s="2">
        <v>0.157</v>
      </c>
      <c r="H172" s="2">
        <v>21</v>
      </c>
      <c r="I172" s="2">
        <v>84.7</v>
      </c>
      <c r="J172" s="2">
        <v>7.73</v>
      </c>
      <c r="K172" s="2">
        <v>0</v>
      </c>
      <c r="L172" s="2">
        <v>4.9000000000000004</v>
      </c>
      <c r="M172" s="2">
        <v>769702.76</v>
      </c>
      <c r="N172" s="2">
        <v>158697</v>
      </c>
      <c r="O172">
        <f t="shared" si="12"/>
        <v>0</v>
      </c>
      <c r="P172">
        <f t="shared" si="13"/>
        <v>0</v>
      </c>
      <c r="Q172">
        <f t="shared" si="14"/>
        <v>0</v>
      </c>
      <c r="R172">
        <f t="shared" si="15"/>
        <v>0</v>
      </c>
      <c r="S172">
        <f t="shared" si="16"/>
        <v>0</v>
      </c>
      <c r="T172">
        <f t="shared" si="17"/>
        <v>0</v>
      </c>
    </row>
    <row r="173" spans="1:20">
      <c r="A173" s="2" t="s">
        <v>64</v>
      </c>
      <c r="B173" s="3">
        <v>45748</v>
      </c>
      <c r="C173" s="2" t="s">
        <v>15</v>
      </c>
      <c r="D173" s="2" t="s">
        <v>16</v>
      </c>
      <c r="E173" s="2">
        <v>36606.51</v>
      </c>
      <c r="F173" s="2">
        <v>7671</v>
      </c>
      <c r="G173" s="2">
        <v>0.11799999999999999</v>
      </c>
      <c r="H173" s="2">
        <v>18</v>
      </c>
      <c r="I173" s="2">
        <v>89.8</v>
      </c>
      <c r="J173" s="2">
        <v>0.25</v>
      </c>
      <c r="K173" s="2">
        <v>0</v>
      </c>
      <c r="L173" s="2">
        <v>4.4000000000000004</v>
      </c>
      <c r="M173" s="2">
        <v>679731.57</v>
      </c>
      <c r="N173" s="2">
        <v>121546.42</v>
      </c>
      <c r="O173">
        <f t="shared" si="12"/>
        <v>0</v>
      </c>
      <c r="P173">
        <f t="shared" si="13"/>
        <v>0</v>
      </c>
      <c r="Q173">
        <f t="shared" si="14"/>
        <v>0</v>
      </c>
      <c r="R173">
        <f t="shared" si="15"/>
        <v>0</v>
      </c>
      <c r="S173">
        <f t="shared" si="16"/>
        <v>0</v>
      </c>
      <c r="T173">
        <f t="shared" si="17"/>
        <v>0</v>
      </c>
    </row>
    <row r="174" spans="1:20">
      <c r="A174" s="2" t="s">
        <v>65</v>
      </c>
      <c r="B174" s="3">
        <v>45658</v>
      </c>
      <c r="C174" s="2" t="s">
        <v>15</v>
      </c>
      <c r="D174" s="2" t="s">
        <v>16</v>
      </c>
      <c r="E174" s="2">
        <v>65237.79</v>
      </c>
      <c r="F174" s="2">
        <v>8741</v>
      </c>
      <c r="G174" s="2">
        <v>0.157</v>
      </c>
      <c r="H174" s="2">
        <v>20</v>
      </c>
      <c r="I174" s="2">
        <v>94.4</v>
      </c>
      <c r="J174" s="2">
        <v>6.43</v>
      </c>
      <c r="K174" s="2">
        <v>0</v>
      </c>
      <c r="L174" s="2">
        <v>3.3</v>
      </c>
      <c r="M174" s="2">
        <v>780344.18</v>
      </c>
      <c r="N174" s="2">
        <v>118239.09</v>
      </c>
      <c r="O174">
        <f t="shared" si="12"/>
        <v>0</v>
      </c>
      <c r="P174">
        <f t="shared" si="13"/>
        <v>0</v>
      </c>
      <c r="Q174">
        <f t="shared" si="14"/>
        <v>0</v>
      </c>
      <c r="R174">
        <f t="shared" si="15"/>
        <v>0</v>
      </c>
      <c r="S174">
        <f t="shared" si="16"/>
        <v>0</v>
      </c>
      <c r="T174">
        <f t="shared" si="17"/>
        <v>0</v>
      </c>
    </row>
    <row r="175" spans="1:20">
      <c r="A175" s="2" t="s">
        <v>65</v>
      </c>
      <c r="B175" s="3">
        <v>45689</v>
      </c>
      <c r="C175" s="2" t="s">
        <v>15</v>
      </c>
      <c r="D175" s="2" t="s">
        <v>16</v>
      </c>
      <c r="E175" s="2">
        <v>43645.98</v>
      </c>
      <c r="F175" s="2">
        <v>9480</v>
      </c>
      <c r="G175" s="2">
        <v>0.109</v>
      </c>
      <c r="H175" s="2">
        <v>22</v>
      </c>
      <c r="I175" s="2">
        <v>89</v>
      </c>
      <c r="J175" s="2">
        <v>2.11</v>
      </c>
      <c r="K175" s="2">
        <v>0</v>
      </c>
      <c r="L175" s="2">
        <v>3.1</v>
      </c>
      <c r="M175" s="2">
        <v>721364.11</v>
      </c>
      <c r="N175" s="2">
        <v>147272.81</v>
      </c>
      <c r="O175">
        <f t="shared" si="12"/>
        <v>0</v>
      </c>
      <c r="P175">
        <f t="shared" si="13"/>
        <v>0</v>
      </c>
      <c r="Q175">
        <f t="shared" si="14"/>
        <v>0</v>
      </c>
      <c r="R175">
        <f t="shared" si="15"/>
        <v>0</v>
      </c>
      <c r="S175">
        <f t="shared" si="16"/>
        <v>0</v>
      </c>
      <c r="T175">
        <f t="shared" si="17"/>
        <v>0</v>
      </c>
    </row>
    <row r="176" spans="1:20">
      <c r="A176" s="2" t="s">
        <v>65</v>
      </c>
      <c r="B176" s="3">
        <v>45717</v>
      </c>
      <c r="C176" s="2" t="s">
        <v>15</v>
      </c>
      <c r="D176" s="2" t="s">
        <v>16</v>
      </c>
      <c r="E176" s="2">
        <v>68040.149999999994</v>
      </c>
      <c r="F176" s="2">
        <v>9826</v>
      </c>
      <c r="G176" s="2">
        <v>0.125</v>
      </c>
      <c r="H176" s="2">
        <v>20</v>
      </c>
      <c r="I176" s="2">
        <v>83.9</v>
      </c>
      <c r="J176" s="2">
        <v>9.1199999999999992</v>
      </c>
      <c r="K176" s="2">
        <v>0</v>
      </c>
      <c r="L176" s="2">
        <v>3.6</v>
      </c>
      <c r="M176" s="2">
        <v>758138.29</v>
      </c>
      <c r="N176" s="2">
        <v>132975.26</v>
      </c>
      <c r="O176">
        <f t="shared" si="12"/>
        <v>0</v>
      </c>
      <c r="P176">
        <f t="shared" si="13"/>
        <v>0</v>
      </c>
      <c r="Q176">
        <f t="shared" si="14"/>
        <v>0</v>
      </c>
      <c r="R176">
        <f t="shared" si="15"/>
        <v>0</v>
      </c>
      <c r="S176">
        <f t="shared" si="16"/>
        <v>0</v>
      </c>
      <c r="T176">
        <f t="shared" si="17"/>
        <v>0</v>
      </c>
    </row>
    <row r="177" spans="1:20">
      <c r="A177" s="2" t="s">
        <v>65</v>
      </c>
      <c r="B177" s="3">
        <v>45748</v>
      </c>
      <c r="C177" s="2" t="s">
        <v>15</v>
      </c>
      <c r="D177" s="2" t="s">
        <v>16</v>
      </c>
      <c r="E177" s="2">
        <v>63043.94</v>
      </c>
      <c r="F177" s="2">
        <v>10402</v>
      </c>
      <c r="G177" s="2">
        <v>0.159</v>
      </c>
      <c r="H177" s="2">
        <v>23</v>
      </c>
      <c r="I177" s="2">
        <v>93.9</v>
      </c>
      <c r="J177" s="2">
        <v>2.71</v>
      </c>
      <c r="K177" s="2">
        <v>0</v>
      </c>
      <c r="L177" s="2">
        <v>3.1</v>
      </c>
      <c r="M177" s="2">
        <v>804264</v>
      </c>
      <c r="N177" s="2">
        <v>167117.91</v>
      </c>
      <c r="O177">
        <f t="shared" si="12"/>
        <v>0</v>
      </c>
      <c r="P177">
        <f t="shared" si="13"/>
        <v>0</v>
      </c>
      <c r="Q177">
        <f t="shared" si="14"/>
        <v>0</v>
      </c>
      <c r="R177">
        <f t="shared" si="15"/>
        <v>0</v>
      </c>
      <c r="S177">
        <f t="shared" si="16"/>
        <v>0</v>
      </c>
      <c r="T177">
        <f t="shared" si="17"/>
        <v>0</v>
      </c>
    </row>
    <row r="178" spans="1:20">
      <c r="A178" s="2" t="s">
        <v>66</v>
      </c>
      <c r="B178" s="3">
        <v>45658</v>
      </c>
      <c r="C178" s="2" t="s">
        <v>27</v>
      </c>
      <c r="D178" s="2" t="s">
        <v>21</v>
      </c>
      <c r="E178" s="2">
        <v>67494.09</v>
      </c>
      <c r="F178" s="2">
        <v>12361</v>
      </c>
      <c r="G178" s="2">
        <v>4.5999999999999999E-2</v>
      </c>
      <c r="H178" s="2">
        <v>24</v>
      </c>
      <c r="I178" s="2">
        <v>76.599999999999994</v>
      </c>
      <c r="J178" s="2">
        <v>3.65</v>
      </c>
      <c r="K178" s="2">
        <v>1</v>
      </c>
      <c r="L178" s="2">
        <v>3.7</v>
      </c>
      <c r="M178" s="2">
        <v>887537.75</v>
      </c>
      <c r="N178" s="2">
        <v>160362.92000000001</v>
      </c>
      <c r="O178">
        <f t="shared" si="12"/>
        <v>0</v>
      </c>
      <c r="P178">
        <f t="shared" si="13"/>
        <v>0</v>
      </c>
      <c r="Q178">
        <f t="shared" si="14"/>
        <v>1</v>
      </c>
      <c r="R178">
        <f t="shared" si="15"/>
        <v>0</v>
      </c>
      <c r="S178">
        <f t="shared" si="16"/>
        <v>1</v>
      </c>
      <c r="T178">
        <f t="shared" si="17"/>
        <v>0</v>
      </c>
    </row>
    <row r="179" spans="1:20">
      <c r="A179" s="2" t="s">
        <v>66</v>
      </c>
      <c r="B179" s="3">
        <v>45689</v>
      </c>
      <c r="C179" s="2" t="s">
        <v>27</v>
      </c>
      <c r="D179" s="2" t="s">
        <v>21</v>
      </c>
      <c r="E179" s="2">
        <v>29389.32</v>
      </c>
      <c r="F179" s="2">
        <v>7925</v>
      </c>
      <c r="G179" s="2">
        <v>0.17699999999999999</v>
      </c>
      <c r="H179" s="2">
        <v>21</v>
      </c>
      <c r="I179" s="2">
        <v>90.9</v>
      </c>
      <c r="J179" s="2">
        <v>7.86</v>
      </c>
      <c r="K179" s="2">
        <v>0</v>
      </c>
      <c r="L179" s="2">
        <v>4</v>
      </c>
      <c r="M179" s="2">
        <v>783582</v>
      </c>
      <c r="N179" s="2">
        <v>130670.93</v>
      </c>
      <c r="O179">
        <f t="shared" si="12"/>
        <v>0</v>
      </c>
      <c r="P179">
        <f t="shared" si="13"/>
        <v>0</v>
      </c>
      <c r="Q179">
        <f t="shared" si="14"/>
        <v>1</v>
      </c>
      <c r="R179">
        <f t="shared" si="15"/>
        <v>0</v>
      </c>
      <c r="S179">
        <f t="shared" si="16"/>
        <v>1</v>
      </c>
      <c r="T179">
        <f t="shared" si="17"/>
        <v>0</v>
      </c>
    </row>
    <row r="180" spans="1:20">
      <c r="A180" s="2" t="s">
        <v>66</v>
      </c>
      <c r="B180" s="3">
        <v>45717</v>
      </c>
      <c r="C180" s="2" t="s">
        <v>27</v>
      </c>
      <c r="D180" s="2" t="s">
        <v>21</v>
      </c>
      <c r="E180" s="2">
        <v>40535.089999999997</v>
      </c>
      <c r="F180" s="2">
        <v>8870</v>
      </c>
      <c r="G180" s="2">
        <v>4.1000000000000002E-2</v>
      </c>
      <c r="H180" s="2">
        <v>21</v>
      </c>
      <c r="I180" s="2">
        <v>86.6</v>
      </c>
      <c r="J180" s="2">
        <v>0.3</v>
      </c>
      <c r="K180" s="2">
        <v>0</v>
      </c>
      <c r="L180" s="2">
        <v>4.0999999999999996</v>
      </c>
      <c r="M180" s="2">
        <v>781955.52</v>
      </c>
      <c r="N180" s="2">
        <v>152578.71</v>
      </c>
      <c r="O180">
        <f t="shared" si="12"/>
        <v>0</v>
      </c>
      <c r="P180">
        <f t="shared" si="13"/>
        <v>0</v>
      </c>
      <c r="Q180">
        <f t="shared" si="14"/>
        <v>1</v>
      </c>
      <c r="R180">
        <f t="shared" si="15"/>
        <v>0</v>
      </c>
      <c r="S180">
        <f t="shared" si="16"/>
        <v>1</v>
      </c>
      <c r="T180">
        <f t="shared" si="17"/>
        <v>0</v>
      </c>
    </row>
    <row r="181" spans="1:20">
      <c r="A181" s="2" t="s">
        <v>66</v>
      </c>
      <c r="B181" s="3">
        <v>45748</v>
      </c>
      <c r="C181" s="2" t="s">
        <v>27</v>
      </c>
      <c r="D181" s="2" t="s">
        <v>21</v>
      </c>
      <c r="E181" s="2">
        <v>74881.56</v>
      </c>
      <c r="F181" s="2">
        <v>9999</v>
      </c>
      <c r="G181" s="2">
        <v>1.2999999999999999E-2</v>
      </c>
      <c r="H181" s="2">
        <v>20</v>
      </c>
      <c r="I181" s="2">
        <v>89.6</v>
      </c>
      <c r="J181" s="2">
        <v>8.44</v>
      </c>
      <c r="K181" s="2">
        <v>0</v>
      </c>
      <c r="L181" s="2">
        <v>4.0999999999999996</v>
      </c>
      <c r="M181" s="2">
        <v>898031.04</v>
      </c>
      <c r="N181" s="2">
        <v>138666.5</v>
      </c>
      <c r="O181">
        <f t="shared" si="12"/>
        <v>0</v>
      </c>
      <c r="P181">
        <f t="shared" si="13"/>
        <v>0</v>
      </c>
      <c r="Q181">
        <f t="shared" si="14"/>
        <v>1</v>
      </c>
      <c r="R181">
        <f t="shared" si="15"/>
        <v>0</v>
      </c>
      <c r="S181">
        <f t="shared" si="16"/>
        <v>1</v>
      </c>
      <c r="T181">
        <f t="shared" si="17"/>
        <v>0</v>
      </c>
    </row>
    <row r="182" spans="1:20">
      <c r="A182" s="2" t="s">
        <v>67</v>
      </c>
      <c r="B182" s="3">
        <v>45658</v>
      </c>
      <c r="C182" s="2" t="s">
        <v>27</v>
      </c>
      <c r="D182" s="2" t="s">
        <v>16</v>
      </c>
      <c r="E182" s="2">
        <v>68491.11</v>
      </c>
      <c r="F182" s="2">
        <v>11154</v>
      </c>
      <c r="G182" s="2">
        <v>1E-3</v>
      </c>
      <c r="H182" s="2">
        <v>24</v>
      </c>
      <c r="I182" s="2">
        <v>89.4</v>
      </c>
      <c r="J182" s="2">
        <v>5.27</v>
      </c>
      <c r="K182" s="2">
        <v>1</v>
      </c>
      <c r="L182" s="2">
        <v>3.9</v>
      </c>
      <c r="M182" s="2">
        <v>855341.28</v>
      </c>
      <c r="N182" s="2">
        <v>175823.8</v>
      </c>
      <c r="O182">
        <f t="shared" si="12"/>
        <v>0</v>
      </c>
      <c r="P182">
        <f t="shared" si="13"/>
        <v>0</v>
      </c>
      <c r="Q182">
        <f t="shared" si="14"/>
        <v>1</v>
      </c>
      <c r="R182">
        <f t="shared" si="15"/>
        <v>0</v>
      </c>
      <c r="S182">
        <f t="shared" si="16"/>
        <v>0</v>
      </c>
      <c r="T182">
        <f t="shared" si="17"/>
        <v>0</v>
      </c>
    </row>
    <row r="183" spans="1:20">
      <c r="A183" s="2" t="s">
        <v>67</v>
      </c>
      <c r="B183" s="3">
        <v>45689</v>
      </c>
      <c r="C183" s="2" t="s">
        <v>27</v>
      </c>
      <c r="D183" s="2" t="s">
        <v>16</v>
      </c>
      <c r="E183" s="2">
        <v>45209.25</v>
      </c>
      <c r="F183" s="2">
        <v>9287</v>
      </c>
      <c r="G183" s="2">
        <v>0.14099999999999999</v>
      </c>
      <c r="H183" s="2">
        <v>22</v>
      </c>
      <c r="I183" s="2">
        <v>86.4</v>
      </c>
      <c r="J183" s="2">
        <v>13.22</v>
      </c>
      <c r="K183" s="2">
        <v>0</v>
      </c>
      <c r="L183" s="2">
        <v>3.6</v>
      </c>
      <c r="M183" s="2">
        <v>751393.88</v>
      </c>
      <c r="N183" s="2">
        <v>91480.320000000007</v>
      </c>
      <c r="O183">
        <f t="shared" si="12"/>
        <v>0</v>
      </c>
      <c r="P183">
        <f t="shared" si="13"/>
        <v>0</v>
      </c>
      <c r="Q183">
        <f t="shared" si="14"/>
        <v>1</v>
      </c>
      <c r="R183">
        <f t="shared" si="15"/>
        <v>0</v>
      </c>
      <c r="S183">
        <f t="shared" si="16"/>
        <v>0</v>
      </c>
      <c r="T183">
        <f t="shared" si="17"/>
        <v>0</v>
      </c>
    </row>
    <row r="184" spans="1:20">
      <c r="A184" s="2" t="s">
        <v>67</v>
      </c>
      <c r="B184" s="3">
        <v>45717</v>
      </c>
      <c r="C184" s="2" t="s">
        <v>27</v>
      </c>
      <c r="D184" s="2" t="s">
        <v>16</v>
      </c>
      <c r="E184" s="2">
        <v>63010.23</v>
      </c>
      <c r="F184" s="2">
        <v>9812</v>
      </c>
      <c r="G184" s="2">
        <v>0.113</v>
      </c>
      <c r="H184" s="2">
        <v>24</v>
      </c>
      <c r="I184" s="2">
        <v>76.8</v>
      </c>
      <c r="J184" s="2">
        <v>1.02</v>
      </c>
      <c r="K184" s="2">
        <v>1</v>
      </c>
      <c r="L184" s="2">
        <v>3.8</v>
      </c>
      <c r="M184" s="2">
        <v>761077.08</v>
      </c>
      <c r="N184" s="2">
        <v>113605.93</v>
      </c>
      <c r="O184">
        <f t="shared" si="12"/>
        <v>0</v>
      </c>
      <c r="P184">
        <f t="shared" si="13"/>
        <v>0</v>
      </c>
      <c r="Q184">
        <f t="shared" si="14"/>
        <v>1</v>
      </c>
      <c r="R184">
        <f t="shared" si="15"/>
        <v>0</v>
      </c>
      <c r="S184">
        <f t="shared" si="16"/>
        <v>0</v>
      </c>
      <c r="T184">
        <f t="shared" si="17"/>
        <v>0</v>
      </c>
    </row>
    <row r="185" spans="1:20">
      <c r="A185" s="2" t="s">
        <v>67</v>
      </c>
      <c r="B185" s="3">
        <v>45748</v>
      </c>
      <c r="C185" s="2" t="s">
        <v>27</v>
      </c>
      <c r="D185" s="2" t="s">
        <v>16</v>
      </c>
      <c r="E185" s="2">
        <v>57948.88</v>
      </c>
      <c r="F185" s="2">
        <v>10741</v>
      </c>
      <c r="G185" s="2">
        <v>7.0000000000000007E-2</v>
      </c>
      <c r="H185" s="2">
        <v>25</v>
      </c>
      <c r="I185" s="2">
        <v>90.1</v>
      </c>
      <c r="J185" s="2">
        <v>4.03</v>
      </c>
      <c r="K185" s="2">
        <v>0</v>
      </c>
      <c r="L185" s="2">
        <v>3.1</v>
      </c>
      <c r="M185" s="2">
        <v>819660.59</v>
      </c>
      <c r="N185" s="2">
        <v>172699.95</v>
      </c>
      <c r="O185">
        <f t="shared" si="12"/>
        <v>0</v>
      </c>
      <c r="P185">
        <f t="shared" si="13"/>
        <v>0</v>
      </c>
      <c r="Q185">
        <f t="shared" si="14"/>
        <v>1</v>
      </c>
      <c r="R185">
        <f t="shared" si="15"/>
        <v>0</v>
      </c>
      <c r="S185">
        <f t="shared" si="16"/>
        <v>0</v>
      </c>
      <c r="T185">
        <f t="shared" si="17"/>
        <v>0</v>
      </c>
    </row>
    <row r="186" spans="1:20">
      <c r="A186" s="2" t="s">
        <v>68</v>
      </c>
      <c r="B186" s="3">
        <v>45658</v>
      </c>
      <c r="C186" s="2" t="s">
        <v>20</v>
      </c>
      <c r="D186" s="2" t="s">
        <v>18</v>
      </c>
      <c r="E186" s="2">
        <v>71941.62</v>
      </c>
      <c r="F186" s="2">
        <v>6084</v>
      </c>
      <c r="G186" s="2">
        <v>7.1999999999999995E-2</v>
      </c>
      <c r="H186" s="2">
        <v>13</v>
      </c>
      <c r="I186" s="2">
        <v>93.7</v>
      </c>
      <c r="J186" s="2">
        <v>2.34</v>
      </c>
      <c r="K186" s="2">
        <v>0</v>
      </c>
      <c r="L186" s="2">
        <v>4.4000000000000004</v>
      </c>
      <c r="M186" s="2">
        <v>681855.56</v>
      </c>
      <c r="N186" s="2">
        <v>117645.61</v>
      </c>
      <c r="O186">
        <f t="shared" si="12"/>
        <v>1</v>
      </c>
      <c r="P186">
        <f t="shared" si="13"/>
        <v>0</v>
      </c>
      <c r="Q186">
        <f t="shared" si="14"/>
        <v>0</v>
      </c>
      <c r="R186">
        <f t="shared" si="15"/>
        <v>1</v>
      </c>
      <c r="S186">
        <f t="shared" si="16"/>
        <v>0</v>
      </c>
      <c r="T186">
        <f t="shared" si="17"/>
        <v>0</v>
      </c>
    </row>
    <row r="187" spans="1:20">
      <c r="A187" s="2" t="s">
        <v>68</v>
      </c>
      <c r="B187" s="3">
        <v>45689</v>
      </c>
      <c r="C187" s="2" t="s">
        <v>20</v>
      </c>
      <c r="D187" s="2" t="s">
        <v>18</v>
      </c>
      <c r="E187" s="2">
        <v>57147.88</v>
      </c>
      <c r="F187" s="2">
        <v>5252</v>
      </c>
      <c r="G187" s="2">
        <v>0.161</v>
      </c>
      <c r="H187" s="2">
        <v>15</v>
      </c>
      <c r="I187" s="2">
        <v>95.5</v>
      </c>
      <c r="J187" s="2">
        <v>8.51</v>
      </c>
      <c r="K187" s="2">
        <v>0</v>
      </c>
      <c r="L187" s="2">
        <v>4.4000000000000004</v>
      </c>
      <c r="M187" s="2">
        <v>678311.17</v>
      </c>
      <c r="N187" s="2">
        <v>132029.76000000001</v>
      </c>
      <c r="O187">
        <f t="shared" si="12"/>
        <v>1</v>
      </c>
      <c r="P187">
        <f t="shared" si="13"/>
        <v>0</v>
      </c>
      <c r="Q187">
        <f t="shared" si="14"/>
        <v>0</v>
      </c>
      <c r="R187">
        <f t="shared" si="15"/>
        <v>1</v>
      </c>
      <c r="S187">
        <f t="shared" si="16"/>
        <v>0</v>
      </c>
      <c r="T187">
        <f t="shared" si="17"/>
        <v>0</v>
      </c>
    </row>
    <row r="188" spans="1:20">
      <c r="A188" s="2" t="s">
        <v>68</v>
      </c>
      <c r="B188" s="3">
        <v>45717</v>
      </c>
      <c r="C188" s="2" t="s">
        <v>20</v>
      </c>
      <c r="D188" s="2" t="s">
        <v>18</v>
      </c>
      <c r="E188" s="2">
        <v>48031.74</v>
      </c>
      <c r="F188" s="2">
        <v>6516</v>
      </c>
      <c r="G188" s="2">
        <v>6.7000000000000004E-2</v>
      </c>
      <c r="H188" s="2">
        <v>14</v>
      </c>
      <c r="I188" s="2">
        <v>99</v>
      </c>
      <c r="J188" s="2">
        <v>0.48</v>
      </c>
      <c r="K188" s="2">
        <v>1</v>
      </c>
      <c r="L188" s="2">
        <v>4.3</v>
      </c>
      <c r="M188" s="2">
        <v>765906.95</v>
      </c>
      <c r="N188" s="2">
        <v>114005.9</v>
      </c>
      <c r="O188">
        <f t="shared" si="12"/>
        <v>1</v>
      </c>
      <c r="P188">
        <f t="shared" si="13"/>
        <v>0</v>
      </c>
      <c r="Q188">
        <f t="shared" si="14"/>
        <v>0</v>
      </c>
      <c r="R188">
        <f t="shared" si="15"/>
        <v>1</v>
      </c>
      <c r="S188">
        <f t="shared" si="16"/>
        <v>0</v>
      </c>
      <c r="T188">
        <f t="shared" si="17"/>
        <v>0</v>
      </c>
    </row>
    <row r="189" spans="1:20">
      <c r="A189" s="2" t="s">
        <v>68</v>
      </c>
      <c r="B189" s="3">
        <v>45748</v>
      </c>
      <c r="C189" s="2" t="s">
        <v>20</v>
      </c>
      <c r="D189" s="2" t="s">
        <v>18</v>
      </c>
      <c r="E189" s="2">
        <v>72784.800000000003</v>
      </c>
      <c r="F189" s="2">
        <v>7932</v>
      </c>
      <c r="G189" s="2">
        <v>9.4E-2</v>
      </c>
      <c r="H189" s="2">
        <v>20</v>
      </c>
      <c r="I189" s="2">
        <v>74.900000000000006</v>
      </c>
      <c r="J189" s="2">
        <v>13.62</v>
      </c>
      <c r="K189" s="2">
        <v>0</v>
      </c>
      <c r="L189" s="2">
        <v>4.2</v>
      </c>
      <c r="M189" s="2">
        <v>712546.38</v>
      </c>
      <c r="N189" s="2">
        <v>101480.04</v>
      </c>
      <c r="O189">
        <f t="shared" si="12"/>
        <v>1</v>
      </c>
      <c r="P189">
        <f t="shared" si="13"/>
        <v>0</v>
      </c>
      <c r="Q189">
        <f t="shared" si="14"/>
        <v>0</v>
      </c>
      <c r="R189">
        <f t="shared" si="15"/>
        <v>1</v>
      </c>
      <c r="S189">
        <f t="shared" si="16"/>
        <v>0</v>
      </c>
      <c r="T189">
        <f t="shared" si="17"/>
        <v>0</v>
      </c>
    </row>
    <row r="190" spans="1:20">
      <c r="A190" s="2" t="s">
        <v>69</v>
      </c>
      <c r="B190" s="3">
        <v>45658</v>
      </c>
      <c r="C190" s="2" t="s">
        <v>15</v>
      </c>
      <c r="D190" s="2" t="s">
        <v>18</v>
      </c>
      <c r="E190" s="2">
        <v>71641.899999999994</v>
      </c>
      <c r="F190" s="2">
        <v>3506</v>
      </c>
      <c r="G190" s="2">
        <v>0</v>
      </c>
      <c r="H190" s="2">
        <v>11</v>
      </c>
      <c r="I190" s="2">
        <v>86.4</v>
      </c>
      <c r="J190" s="2">
        <v>7.77</v>
      </c>
      <c r="K190" s="2">
        <v>0</v>
      </c>
      <c r="L190" s="2">
        <v>4.0999999999999996</v>
      </c>
      <c r="M190" s="2">
        <v>625993.82999999996</v>
      </c>
      <c r="N190" s="2">
        <v>98960.320000000007</v>
      </c>
      <c r="O190">
        <f t="shared" si="12"/>
        <v>0</v>
      </c>
      <c r="P190">
        <f t="shared" si="13"/>
        <v>0</v>
      </c>
      <c r="Q190">
        <f t="shared" si="14"/>
        <v>0</v>
      </c>
      <c r="R190">
        <f t="shared" si="15"/>
        <v>1</v>
      </c>
      <c r="S190">
        <f t="shared" si="16"/>
        <v>0</v>
      </c>
      <c r="T190">
        <f t="shared" si="17"/>
        <v>0</v>
      </c>
    </row>
    <row r="191" spans="1:20">
      <c r="A191" s="2" t="s">
        <v>69</v>
      </c>
      <c r="B191" s="3">
        <v>45689</v>
      </c>
      <c r="C191" s="2" t="s">
        <v>15</v>
      </c>
      <c r="D191" s="2" t="s">
        <v>18</v>
      </c>
      <c r="E191" s="2">
        <v>55788.61</v>
      </c>
      <c r="F191" s="2">
        <v>2312</v>
      </c>
      <c r="G191" s="2">
        <v>5.8000000000000003E-2</v>
      </c>
      <c r="H191" s="2">
        <v>10</v>
      </c>
      <c r="I191" s="2">
        <v>91.3</v>
      </c>
      <c r="J191" s="2">
        <v>1.99</v>
      </c>
      <c r="K191" s="2">
        <v>0</v>
      </c>
      <c r="L191" s="2">
        <v>3.8</v>
      </c>
      <c r="M191" s="2">
        <v>550962.93000000005</v>
      </c>
      <c r="N191" s="2">
        <v>97144.58</v>
      </c>
      <c r="O191">
        <f t="shared" si="12"/>
        <v>0</v>
      </c>
      <c r="P191">
        <f t="shared" si="13"/>
        <v>0</v>
      </c>
      <c r="Q191">
        <f t="shared" si="14"/>
        <v>0</v>
      </c>
      <c r="R191">
        <f t="shared" si="15"/>
        <v>1</v>
      </c>
      <c r="S191">
        <f t="shared" si="16"/>
        <v>0</v>
      </c>
      <c r="T191">
        <f t="shared" si="17"/>
        <v>0</v>
      </c>
    </row>
    <row r="192" spans="1:20">
      <c r="A192" s="2" t="s">
        <v>69</v>
      </c>
      <c r="B192" s="3">
        <v>45717</v>
      </c>
      <c r="C192" s="2" t="s">
        <v>15</v>
      </c>
      <c r="D192" s="2" t="s">
        <v>18</v>
      </c>
      <c r="E192" s="2">
        <v>37705.879999999997</v>
      </c>
      <c r="F192" s="2">
        <v>1268</v>
      </c>
      <c r="G192" s="2">
        <v>0.25900000000000001</v>
      </c>
      <c r="H192" s="2">
        <v>9</v>
      </c>
      <c r="I192" s="2">
        <v>84.1</v>
      </c>
      <c r="J192" s="2">
        <v>4.7699999999999996</v>
      </c>
      <c r="K192" s="2">
        <v>0</v>
      </c>
      <c r="L192" s="2">
        <v>3.8</v>
      </c>
      <c r="M192" s="2">
        <v>443275.59</v>
      </c>
      <c r="N192" s="2">
        <v>53544.36</v>
      </c>
      <c r="O192">
        <f t="shared" si="12"/>
        <v>0</v>
      </c>
      <c r="P192">
        <f t="shared" si="13"/>
        <v>0</v>
      </c>
      <c r="Q192">
        <f t="shared" si="14"/>
        <v>0</v>
      </c>
      <c r="R192">
        <f t="shared" si="15"/>
        <v>1</v>
      </c>
      <c r="S192">
        <f t="shared" si="16"/>
        <v>0</v>
      </c>
      <c r="T192">
        <f t="shared" si="17"/>
        <v>0</v>
      </c>
    </row>
    <row r="193" spans="1:20">
      <c r="A193" s="2" t="s">
        <v>69</v>
      </c>
      <c r="B193" s="3">
        <v>45748</v>
      </c>
      <c r="C193" s="2" t="s">
        <v>15</v>
      </c>
      <c r="D193" s="2" t="s">
        <v>18</v>
      </c>
      <c r="E193" s="2">
        <v>54966.18</v>
      </c>
      <c r="F193" s="2">
        <v>4423</v>
      </c>
      <c r="G193" s="2">
        <v>0.186</v>
      </c>
      <c r="H193" s="2">
        <v>13</v>
      </c>
      <c r="I193" s="2">
        <v>88.7</v>
      </c>
      <c r="J193" s="2">
        <v>0.2</v>
      </c>
      <c r="K193" s="2">
        <v>0</v>
      </c>
      <c r="L193" s="2">
        <v>4.4000000000000004</v>
      </c>
      <c r="M193" s="2">
        <v>554012.06999999995</v>
      </c>
      <c r="N193" s="2">
        <v>81101.62</v>
      </c>
      <c r="O193">
        <f t="shared" si="12"/>
        <v>0</v>
      </c>
      <c r="P193">
        <f t="shared" si="13"/>
        <v>0</v>
      </c>
      <c r="Q193">
        <f t="shared" si="14"/>
        <v>0</v>
      </c>
      <c r="R193">
        <f t="shared" si="15"/>
        <v>1</v>
      </c>
      <c r="S193">
        <f t="shared" si="16"/>
        <v>0</v>
      </c>
      <c r="T193">
        <f t="shared" si="17"/>
        <v>0</v>
      </c>
    </row>
    <row r="194" spans="1:20">
      <c r="A194" s="2" t="s">
        <v>70</v>
      </c>
      <c r="B194" s="3">
        <v>45658</v>
      </c>
      <c r="C194" s="2" t="s">
        <v>27</v>
      </c>
      <c r="D194" s="2" t="s">
        <v>16</v>
      </c>
      <c r="E194" s="2">
        <v>81796.740000000005</v>
      </c>
      <c r="F194" s="2">
        <v>6177</v>
      </c>
      <c r="G194" s="2">
        <v>0.16400000000000001</v>
      </c>
      <c r="H194" s="2">
        <v>14</v>
      </c>
      <c r="I194" s="2">
        <v>87.9</v>
      </c>
      <c r="J194" s="2">
        <v>0.53</v>
      </c>
      <c r="K194" s="2">
        <v>0</v>
      </c>
      <c r="L194" s="2">
        <v>3.2</v>
      </c>
      <c r="M194" s="2">
        <v>643428.85</v>
      </c>
      <c r="N194" s="2">
        <v>94477.63</v>
      </c>
      <c r="O194">
        <f t="shared" si="12"/>
        <v>0</v>
      </c>
      <c r="P194">
        <f t="shared" si="13"/>
        <v>0</v>
      </c>
      <c r="Q194">
        <f t="shared" si="14"/>
        <v>1</v>
      </c>
      <c r="R194">
        <f t="shared" si="15"/>
        <v>0</v>
      </c>
      <c r="S194">
        <f t="shared" si="16"/>
        <v>0</v>
      </c>
      <c r="T194">
        <f t="shared" si="17"/>
        <v>0</v>
      </c>
    </row>
    <row r="195" spans="1:20">
      <c r="A195" s="2" t="s">
        <v>70</v>
      </c>
      <c r="B195" s="3">
        <v>45689</v>
      </c>
      <c r="C195" s="2" t="s">
        <v>27</v>
      </c>
      <c r="D195" s="2" t="s">
        <v>16</v>
      </c>
      <c r="E195" s="2">
        <v>51133.43</v>
      </c>
      <c r="F195" s="2">
        <v>5150</v>
      </c>
      <c r="G195" s="2">
        <v>0.15</v>
      </c>
      <c r="H195" s="2">
        <v>12</v>
      </c>
      <c r="I195" s="2">
        <v>88.5</v>
      </c>
      <c r="J195" s="2">
        <v>1.54</v>
      </c>
      <c r="K195" s="2">
        <v>0</v>
      </c>
      <c r="L195" s="2">
        <v>3.2</v>
      </c>
      <c r="M195" s="2">
        <v>611924.27</v>
      </c>
      <c r="N195" s="2">
        <v>115488.75</v>
      </c>
      <c r="O195">
        <f t="shared" ref="O195:O258" si="18">IF($C195="North", 1, 0)</f>
        <v>0</v>
      </c>
      <c r="P195">
        <f t="shared" ref="P195:P258" si="19">IF($C195="South", 1, 0)</f>
        <v>0</v>
      </c>
      <c r="Q195">
        <f t="shared" ref="Q195:Q258" si="20">IF($C195="West", 1, 0)</f>
        <v>1</v>
      </c>
      <c r="R195">
        <f t="shared" ref="R195:R258" si="21">IF($D195="High Street", 1, 0)</f>
        <v>0</v>
      </c>
      <c r="S195">
        <f t="shared" ref="S195:S258" si="22">IF($D195="Airport", 1, 0)</f>
        <v>0</v>
      </c>
      <c r="T195">
        <f t="shared" ref="T195:T258" si="23">IF($D195="Mall", 1, 0)</f>
        <v>0</v>
      </c>
    </row>
    <row r="196" spans="1:20">
      <c r="A196" s="2" t="s">
        <v>70</v>
      </c>
      <c r="B196" s="3">
        <v>45717</v>
      </c>
      <c r="C196" s="2" t="s">
        <v>27</v>
      </c>
      <c r="D196" s="2" t="s">
        <v>16</v>
      </c>
      <c r="E196" s="2">
        <v>40220.18</v>
      </c>
      <c r="F196" s="2">
        <v>3783</v>
      </c>
      <c r="G196" s="2">
        <v>8.8999999999999996E-2</v>
      </c>
      <c r="H196" s="2">
        <v>14</v>
      </c>
      <c r="I196" s="2">
        <v>86.6</v>
      </c>
      <c r="J196" s="2">
        <v>3.63</v>
      </c>
      <c r="K196" s="2">
        <v>0</v>
      </c>
      <c r="L196" s="2">
        <v>3.7</v>
      </c>
      <c r="M196" s="2">
        <v>559422.02</v>
      </c>
      <c r="N196" s="2">
        <v>73528.740000000005</v>
      </c>
      <c r="O196">
        <f t="shared" si="18"/>
        <v>0</v>
      </c>
      <c r="P196">
        <f t="shared" si="19"/>
        <v>0</v>
      </c>
      <c r="Q196">
        <f t="shared" si="20"/>
        <v>1</v>
      </c>
      <c r="R196">
        <f t="shared" si="21"/>
        <v>0</v>
      </c>
      <c r="S196">
        <f t="shared" si="22"/>
        <v>0</v>
      </c>
      <c r="T196">
        <f t="shared" si="23"/>
        <v>0</v>
      </c>
    </row>
    <row r="197" spans="1:20">
      <c r="A197" s="2" t="s">
        <v>70</v>
      </c>
      <c r="B197" s="3">
        <v>45748</v>
      </c>
      <c r="C197" s="2" t="s">
        <v>27</v>
      </c>
      <c r="D197" s="2" t="s">
        <v>16</v>
      </c>
      <c r="E197" s="2">
        <v>41657.64</v>
      </c>
      <c r="F197" s="2">
        <v>3135</v>
      </c>
      <c r="G197" s="2">
        <v>0.22900000000000001</v>
      </c>
      <c r="H197" s="2">
        <v>7</v>
      </c>
      <c r="I197" s="2">
        <v>85.4</v>
      </c>
      <c r="J197" s="2">
        <v>13.48</v>
      </c>
      <c r="K197" s="2">
        <v>0</v>
      </c>
      <c r="L197" s="2"/>
      <c r="M197" s="2">
        <v>449465.06</v>
      </c>
      <c r="N197" s="2">
        <v>65694.78</v>
      </c>
      <c r="O197">
        <f t="shared" si="18"/>
        <v>0</v>
      </c>
      <c r="P197">
        <f t="shared" si="19"/>
        <v>0</v>
      </c>
      <c r="Q197">
        <f t="shared" si="20"/>
        <v>1</v>
      </c>
      <c r="R197">
        <f t="shared" si="21"/>
        <v>0</v>
      </c>
      <c r="S197">
        <f t="shared" si="22"/>
        <v>0</v>
      </c>
      <c r="T197">
        <f t="shared" si="23"/>
        <v>0</v>
      </c>
    </row>
    <row r="198" spans="1:20">
      <c r="A198" s="2" t="s">
        <v>71</v>
      </c>
      <c r="B198" s="3">
        <v>45658</v>
      </c>
      <c r="C198" s="2" t="s">
        <v>20</v>
      </c>
      <c r="D198" s="2" t="s">
        <v>16</v>
      </c>
      <c r="E198" s="2">
        <v>71851.45</v>
      </c>
      <c r="F198" s="2">
        <v>4970</v>
      </c>
      <c r="G198" s="2">
        <v>9.8000000000000004E-2</v>
      </c>
      <c r="H198" s="2">
        <v>11</v>
      </c>
      <c r="I198" s="2">
        <v>89.6</v>
      </c>
      <c r="J198" s="2">
        <v>0.2</v>
      </c>
      <c r="K198" s="2">
        <v>0</v>
      </c>
      <c r="L198" s="2">
        <v>4.2</v>
      </c>
      <c r="M198" s="2">
        <v>691447.43</v>
      </c>
      <c r="N198" s="2">
        <v>114077.69</v>
      </c>
      <c r="O198">
        <f t="shared" si="18"/>
        <v>1</v>
      </c>
      <c r="P198">
        <f t="shared" si="19"/>
        <v>0</v>
      </c>
      <c r="Q198">
        <f t="shared" si="20"/>
        <v>0</v>
      </c>
      <c r="R198">
        <f t="shared" si="21"/>
        <v>0</v>
      </c>
      <c r="S198">
        <f t="shared" si="22"/>
        <v>0</v>
      </c>
      <c r="T198">
        <f t="shared" si="23"/>
        <v>0</v>
      </c>
    </row>
    <row r="199" spans="1:20">
      <c r="A199" s="2" t="s">
        <v>71</v>
      </c>
      <c r="B199" s="3">
        <v>45689</v>
      </c>
      <c r="C199" s="2" t="s">
        <v>20</v>
      </c>
      <c r="D199" s="2" t="s">
        <v>16</v>
      </c>
      <c r="E199" s="2">
        <v>54002.83</v>
      </c>
      <c r="F199" s="2">
        <v>4366</v>
      </c>
      <c r="G199" s="2">
        <v>2.7E-2</v>
      </c>
      <c r="H199" s="2">
        <v>15</v>
      </c>
      <c r="I199" s="2">
        <v>90.6</v>
      </c>
      <c r="J199" s="2">
        <v>12.82</v>
      </c>
      <c r="K199" s="2">
        <v>0</v>
      </c>
      <c r="L199" s="2">
        <v>4.5999999999999996</v>
      </c>
      <c r="M199" s="2">
        <v>574066.61</v>
      </c>
      <c r="N199" s="2">
        <v>124674.67</v>
      </c>
      <c r="O199">
        <f t="shared" si="18"/>
        <v>1</v>
      </c>
      <c r="P199">
        <f t="shared" si="19"/>
        <v>0</v>
      </c>
      <c r="Q199">
        <f t="shared" si="20"/>
        <v>0</v>
      </c>
      <c r="R199">
        <f t="shared" si="21"/>
        <v>0</v>
      </c>
      <c r="S199">
        <f t="shared" si="22"/>
        <v>0</v>
      </c>
      <c r="T199">
        <f t="shared" si="23"/>
        <v>0</v>
      </c>
    </row>
    <row r="200" spans="1:20">
      <c r="A200" s="2" t="s">
        <v>71</v>
      </c>
      <c r="B200" s="3">
        <v>45717</v>
      </c>
      <c r="C200" s="2" t="s">
        <v>20</v>
      </c>
      <c r="D200" s="2" t="s">
        <v>16</v>
      </c>
      <c r="E200" s="2">
        <v>54479.33</v>
      </c>
      <c r="F200" s="2">
        <v>5012</v>
      </c>
      <c r="G200" s="2">
        <v>0.28399999999999997</v>
      </c>
      <c r="H200" s="2">
        <v>13</v>
      </c>
      <c r="I200" s="2">
        <v>86</v>
      </c>
      <c r="J200" s="2">
        <v>2.2400000000000002</v>
      </c>
      <c r="K200" s="2">
        <v>1</v>
      </c>
      <c r="L200" s="2">
        <v>4.3</v>
      </c>
      <c r="M200" s="2">
        <v>578949.84</v>
      </c>
      <c r="N200" s="2">
        <v>80253.649999999994</v>
      </c>
      <c r="O200">
        <f t="shared" si="18"/>
        <v>1</v>
      </c>
      <c r="P200">
        <f t="shared" si="19"/>
        <v>0</v>
      </c>
      <c r="Q200">
        <f t="shared" si="20"/>
        <v>0</v>
      </c>
      <c r="R200">
        <f t="shared" si="21"/>
        <v>0</v>
      </c>
      <c r="S200">
        <f t="shared" si="22"/>
        <v>0</v>
      </c>
      <c r="T200">
        <f t="shared" si="23"/>
        <v>0</v>
      </c>
    </row>
    <row r="201" spans="1:20">
      <c r="A201" s="2" t="s">
        <v>71</v>
      </c>
      <c r="B201" s="3">
        <v>45748</v>
      </c>
      <c r="C201" s="2" t="s">
        <v>20</v>
      </c>
      <c r="D201" s="2" t="s">
        <v>16</v>
      </c>
      <c r="E201" s="2">
        <v>61391.8</v>
      </c>
      <c r="F201" s="2">
        <v>5575</v>
      </c>
      <c r="G201" s="2">
        <v>0.189</v>
      </c>
      <c r="H201" s="2">
        <v>18</v>
      </c>
      <c r="I201" s="2">
        <v>90</v>
      </c>
      <c r="J201" s="2">
        <v>1.8</v>
      </c>
      <c r="K201" s="2">
        <v>0</v>
      </c>
      <c r="L201" s="2">
        <v>4.8</v>
      </c>
      <c r="M201" s="2">
        <v>735786.64</v>
      </c>
      <c r="N201" s="2">
        <v>126540.66</v>
      </c>
      <c r="O201">
        <f t="shared" si="18"/>
        <v>1</v>
      </c>
      <c r="P201">
        <f t="shared" si="19"/>
        <v>0</v>
      </c>
      <c r="Q201">
        <f t="shared" si="20"/>
        <v>0</v>
      </c>
      <c r="R201">
        <f t="shared" si="21"/>
        <v>0</v>
      </c>
      <c r="S201">
        <f t="shared" si="22"/>
        <v>0</v>
      </c>
      <c r="T201">
        <f t="shared" si="23"/>
        <v>0</v>
      </c>
    </row>
    <row r="202" spans="1:20">
      <c r="A202" s="2" t="s">
        <v>72</v>
      </c>
      <c r="B202" s="3">
        <v>45658</v>
      </c>
      <c r="C202" s="2" t="s">
        <v>15</v>
      </c>
      <c r="D202" s="2" t="s">
        <v>21</v>
      </c>
      <c r="E202" s="2">
        <v>22312.93</v>
      </c>
      <c r="F202" s="2">
        <v>5955</v>
      </c>
      <c r="G202" s="2">
        <v>0.123</v>
      </c>
      <c r="H202" s="2">
        <v>13</v>
      </c>
      <c r="I202" s="2">
        <v>84.2</v>
      </c>
      <c r="J202" s="2">
        <v>0.41</v>
      </c>
      <c r="K202" s="2">
        <v>1</v>
      </c>
      <c r="L202" s="2">
        <v>4.5999999999999996</v>
      </c>
      <c r="M202" s="2">
        <v>598904.9</v>
      </c>
      <c r="N202" s="2">
        <v>72861</v>
      </c>
      <c r="O202">
        <f t="shared" si="18"/>
        <v>0</v>
      </c>
      <c r="P202">
        <f t="shared" si="19"/>
        <v>0</v>
      </c>
      <c r="Q202">
        <f t="shared" si="20"/>
        <v>0</v>
      </c>
      <c r="R202">
        <f t="shared" si="21"/>
        <v>0</v>
      </c>
      <c r="S202">
        <f t="shared" si="22"/>
        <v>1</v>
      </c>
      <c r="T202">
        <f t="shared" si="23"/>
        <v>0</v>
      </c>
    </row>
    <row r="203" spans="1:20">
      <c r="A203" s="2" t="s">
        <v>72</v>
      </c>
      <c r="B203" s="3">
        <v>45689</v>
      </c>
      <c r="C203" s="2" t="s">
        <v>15</v>
      </c>
      <c r="D203" s="2" t="s">
        <v>21</v>
      </c>
      <c r="E203" s="2">
        <v>78111.97</v>
      </c>
      <c r="F203" s="2">
        <v>6389</v>
      </c>
      <c r="G203" s="2">
        <v>0.15</v>
      </c>
      <c r="H203" s="2">
        <v>13</v>
      </c>
      <c r="I203" s="2">
        <v>83.9</v>
      </c>
      <c r="J203" s="2">
        <v>3.05</v>
      </c>
      <c r="K203" s="2">
        <v>0</v>
      </c>
      <c r="L203" s="2">
        <v>4.8</v>
      </c>
      <c r="M203" s="2">
        <v>787715.51</v>
      </c>
      <c r="N203" s="2">
        <v>128969.62</v>
      </c>
      <c r="O203">
        <f t="shared" si="18"/>
        <v>0</v>
      </c>
      <c r="P203">
        <f t="shared" si="19"/>
        <v>0</v>
      </c>
      <c r="Q203">
        <f t="shared" si="20"/>
        <v>0</v>
      </c>
      <c r="R203">
        <f t="shared" si="21"/>
        <v>0</v>
      </c>
      <c r="S203">
        <f t="shared" si="22"/>
        <v>1</v>
      </c>
      <c r="T203">
        <f t="shared" si="23"/>
        <v>0</v>
      </c>
    </row>
    <row r="204" spans="1:20">
      <c r="A204" s="2" t="s">
        <v>72</v>
      </c>
      <c r="B204" s="3">
        <v>45717</v>
      </c>
      <c r="C204" s="2" t="s">
        <v>15</v>
      </c>
      <c r="D204" s="2" t="s">
        <v>21</v>
      </c>
      <c r="E204" s="2">
        <v>35203.230000000003</v>
      </c>
      <c r="F204" s="2">
        <v>6896</v>
      </c>
      <c r="G204" s="2">
        <v>3.2000000000000001E-2</v>
      </c>
      <c r="H204" s="2">
        <v>14</v>
      </c>
      <c r="I204" s="2">
        <v>80.8</v>
      </c>
      <c r="J204" s="2">
        <v>8.44</v>
      </c>
      <c r="K204" s="2">
        <v>1</v>
      </c>
      <c r="L204" s="2">
        <v>5</v>
      </c>
      <c r="M204" s="2">
        <v>607084.92000000004</v>
      </c>
      <c r="N204" s="2">
        <v>98558.49</v>
      </c>
      <c r="O204">
        <f t="shared" si="18"/>
        <v>0</v>
      </c>
      <c r="P204">
        <f t="shared" si="19"/>
        <v>0</v>
      </c>
      <c r="Q204">
        <f t="shared" si="20"/>
        <v>0</v>
      </c>
      <c r="R204">
        <f t="shared" si="21"/>
        <v>0</v>
      </c>
      <c r="S204">
        <f t="shared" si="22"/>
        <v>1</v>
      </c>
      <c r="T204">
        <f t="shared" si="23"/>
        <v>0</v>
      </c>
    </row>
    <row r="205" spans="1:20">
      <c r="A205" s="2" t="s">
        <v>72</v>
      </c>
      <c r="B205" s="3">
        <v>45748</v>
      </c>
      <c r="C205" s="2" t="s">
        <v>15</v>
      </c>
      <c r="D205" s="2" t="s">
        <v>21</v>
      </c>
      <c r="E205" s="2">
        <v>64104.28</v>
      </c>
      <c r="F205" s="2">
        <v>6015</v>
      </c>
      <c r="G205" s="2">
        <v>0.127</v>
      </c>
      <c r="H205" s="2">
        <v>15</v>
      </c>
      <c r="I205" s="2">
        <v>88.7</v>
      </c>
      <c r="J205" s="2">
        <v>0.78</v>
      </c>
      <c r="K205" s="2">
        <v>0</v>
      </c>
      <c r="L205" s="2">
        <v>4</v>
      </c>
      <c r="M205" s="2">
        <v>650795.49</v>
      </c>
      <c r="N205" s="2">
        <v>103035.89</v>
      </c>
      <c r="O205">
        <f t="shared" si="18"/>
        <v>0</v>
      </c>
      <c r="P205">
        <f t="shared" si="19"/>
        <v>0</v>
      </c>
      <c r="Q205">
        <f t="shared" si="20"/>
        <v>0</v>
      </c>
      <c r="R205">
        <f t="shared" si="21"/>
        <v>0</v>
      </c>
      <c r="S205">
        <f t="shared" si="22"/>
        <v>1</v>
      </c>
      <c r="T205">
        <f t="shared" si="23"/>
        <v>0</v>
      </c>
    </row>
    <row r="206" spans="1:20">
      <c r="A206" s="2" t="s">
        <v>73</v>
      </c>
      <c r="B206" s="3">
        <v>45658</v>
      </c>
      <c r="C206" s="2" t="s">
        <v>15</v>
      </c>
      <c r="D206" s="2" t="s">
        <v>28</v>
      </c>
      <c r="E206" s="2">
        <v>92090.14</v>
      </c>
      <c r="F206" s="2">
        <v>9476</v>
      </c>
      <c r="G206" s="2">
        <v>7.0000000000000007E-2</v>
      </c>
      <c r="H206" s="2">
        <v>24</v>
      </c>
      <c r="I206" s="2">
        <v>94.3</v>
      </c>
      <c r="J206" s="2">
        <v>0.87</v>
      </c>
      <c r="K206" s="2">
        <v>0</v>
      </c>
      <c r="L206" s="2">
        <v>3.7</v>
      </c>
      <c r="M206" s="2">
        <v>825060.52</v>
      </c>
      <c r="N206" s="2">
        <v>143613.15</v>
      </c>
      <c r="O206">
        <f t="shared" si="18"/>
        <v>0</v>
      </c>
      <c r="P206">
        <f t="shared" si="19"/>
        <v>0</v>
      </c>
      <c r="Q206">
        <f t="shared" si="20"/>
        <v>0</v>
      </c>
      <c r="R206">
        <f t="shared" si="21"/>
        <v>0</v>
      </c>
      <c r="S206">
        <f t="shared" si="22"/>
        <v>0</v>
      </c>
      <c r="T206">
        <f t="shared" si="23"/>
        <v>1</v>
      </c>
    </row>
    <row r="207" spans="1:20">
      <c r="A207" s="2" t="s">
        <v>73</v>
      </c>
      <c r="B207" s="3">
        <v>45689</v>
      </c>
      <c r="C207" s="2" t="s">
        <v>15</v>
      </c>
      <c r="D207" s="2" t="s">
        <v>28</v>
      </c>
      <c r="E207" s="2">
        <v>54300.87</v>
      </c>
      <c r="F207" s="2">
        <v>7875</v>
      </c>
      <c r="G207" s="2">
        <v>0.107</v>
      </c>
      <c r="H207" s="2">
        <v>19</v>
      </c>
      <c r="I207" s="2">
        <v>94.1</v>
      </c>
      <c r="J207" s="2">
        <v>0.95</v>
      </c>
      <c r="K207" s="2">
        <v>0</v>
      </c>
      <c r="L207" s="2">
        <v>3.7</v>
      </c>
      <c r="M207" s="2">
        <v>795464.47</v>
      </c>
      <c r="N207" s="2">
        <v>161150.51999999999</v>
      </c>
      <c r="O207">
        <f t="shared" si="18"/>
        <v>0</v>
      </c>
      <c r="P207">
        <f t="shared" si="19"/>
        <v>0</v>
      </c>
      <c r="Q207">
        <f t="shared" si="20"/>
        <v>0</v>
      </c>
      <c r="R207">
        <f t="shared" si="21"/>
        <v>0</v>
      </c>
      <c r="S207">
        <f t="shared" si="22"/>
        <v>0</v>
      </c>
      <c r="T207">
        <f t="shared" si="23"/>
        <v>1</v>
      </c>
    </row>
    <row r="208" spans="1:20">
      <c r="A208" s="2" t="s">
        <v>73</v>
      </c>
      <c r="B208" s="3">
        <v>45717</v>
      </c>
      <c r="C208" s="2" t="s">
        <v>15</v>
      </c>
      <c r="D208" s="2" t="s">
        <v>28</v>
      </c>
      <c r="E208" s="2">
        <v>37983.35</v>
      </c>
      <c r="F208" s="2">
        <v>9283</v>
      </c>
      <c r="G208" s="2">
        <v>0.14899999999999999</v>
      </c>
      <c r="H208" s="2">
        <v>19</v>
      </c>
      <c r="I208" s="2">
        <v>83.2</v>
      </c>
      <c r="J208" s="2">
        <v>3.82</v>
      </c>
      <c r="K208" s="2">
        <v>0</v>
      </c>
      <c r="L208" s="2">
        <v>3.7</v>
      </c>
      <c r="M208" s="2">
        <v>671868.59</v>
      </c>
      <c r="N208" s="2">
        <v>71003.28</v>
      </c>
      <c r="O208">
        <f t="shared" si="18"/>
        <v>0</v>
      </c>
      <c r="P208">
        <f t="shared" si="19"/>
        <v>0</v>
      </c>
      <c r="Q208">
        <f t="shared" si="20"/>
        <v>0</v>
      </c>
      <c r="R208">
        <f t="shared" si="21"/>
        <v>0</v>
      </c>
      <c r="S208">
        <f t="shared" si="22"/>
        <v>0</v>
      </c>
      <c r="T208">
        <f t="shared" si="23"/>
        <v>1</v>
      </c>
    </row>
    <row r="209" spans="1:20">
      <c r="A209" s="2" t="s">
        <v>73</v>
      </c>
      <c r="B209" s="3">
        <v>45748</v>
      </c>
      <c r="C209" s="2" t="s">
        <v>15</v>
      </c>
      <c r="D209" s="2" t="s">
        <v>28</v>
      </c>
      <c r="E209" s="2">
        <v>56413.83</v>
      </c>
      <c r="F209" s="2">
        <v>8303</v>
      </c>
      <c r="G209" s="2">
        <v>0.11600000000000001</v>
      </c>
      <c r="H209" s="2">
        <v>18</v>
      </c>
      <c r="I209" s="2">
        <v>93.6</v>
      </c>
      <c r="J209" s="2">
        <v>2.7</v>
      </c>
      <c r="K209" s="2">
        <v>0</v>
      </c>
      <c r="L209" s="2">
        <v>3.7</v>
      </c>
      <c r="M209" s="2">
        <v>675917.63</v>
      </c>
      <c r="N209" s="2">
        <v>112564.75</v>
      </c>
      <c r="O209">
        <f t="shared" si="18"/>
        <v>0</v>
      </c>
      <c r="P209">
        <f t="shared" si="19"/>
        <v>0</v>
      </c>
      <c r="Q209">
        <f t="shared" si="20"/>
        <v>0</v>
      </c>
      <c r="R209">
        <f t="shared" si="21"/>
        <v>0</v>
      </c>
      <c r="S209">
        <f t="shared" si="22"/>
        <v>0</v>
      </c>
      <c r="T209">
        <f t="shared" si="23"/>
        <v>1</v>
      </c>
    </row>
    <row r="210" spans="1:20">
      <c r="A210" s="2" t="s">
        <v>74</v>
      </c>
      <c r="B210" s="3">
        <v>45658</v>
      </c>
      <c r="C210" s="2" t="s">
        <v>15</v>
      </c>
      <c r="D210" s="2" t="s">
        <v>18</v>
      </c>
      <c r="E210" s="2">
        <v>63457.19</v>
      </c>
      <c r="F210" s="2">
        <v>10125</v>
      </c>
      <c r="G210" s="2">
        <v>9.7000000000000003E-2</v>
      </c>
      <c r="H210" s="2">
        <v>24</v>
      </c>
      <c r="I210" s="2">
        <v>87</v>
      </c>
      <c r="J210" s="2">
        <v>3.84</v>
      </c>
      <c r="K210" s="2">
        <v>1</v>
      </c>
      <c r="L210" s="2">
        <v>3.7</v>
      </c>
      <c r="M210" s="2">
        <v>810446.53</v>
      </c>
      <c r="N210" s="2">
        <v>200575.34</v>
      </c>
      <c r="O210">
        <f t="shared" si="18"/>
        <v>0</v>
      </c>
      <c r="P210">
        <f t="shared" si="19"/>
        <v>0</v>
      </c>
      <c r="Q210">
        <f t="shared" si="20"/>
        <v>0</v>
      </c>
      <c r="R210">
        <f t="shared" si="21"/>
        <v>1</v>
      </c>
      <c r="S210">
        <f t="shared" si="22"/>
        <v>0</v>
      </c>
      <c r="T210">
        <f t="shared" si="23"/>
        <v>0</v>
      </c>
    </row>
    <row r="211" spans="1:20">
      <c r="A211" s="2" t="s">
        <v>74</v>
      </c>
      <c r="B211" s="3">
        <v>45689</v>
      </c>
      <c r="C211" s="2" t="s">
        <v>15</v>
      </c>
      <c r="D211" s="2" t="s">
        <v>18</v>
      </c>
      <c r="E211" s="2">
        <v>62949.7</v>
      </c>
      <c r="F211" s="2">
        <v>9458</v>
      </c>
      <c r="G211" s="2">
        <v>0.17100000000000001</v>
      </c>
      <c r="H211" s="2">
        <v>19</v>
      </c>
      <c r="I211" s="2">
        <v>84.9</v>
      </c>
      <c r="J211" s="2">
        <v>5.09</v>
      </c>
      <c r="K211" s="2">
        <v>0</v>
      </c>
      <c r="L211" s="2">
        <v>3.3</v>
      </c>
      <c r="M211" s="2">
        <v>691288.19</v>
      </c>
      <c r="N211" s="2">
        <v>159074.14000000001</v>
      </c>
      <c r="O211">
        <f t="shared" si="18"/>
        <v>0</v>
      </c>
      <c r="P211">
        <f t="shared" si="19"/>
        <v>0</v>
      </c>
      <c r="Q211">
        <f t="shared" si="20"/>
        <v>0</v>
      </c>
      <c r="R211">
        <f t="shared" si="21"/>
        <v>1</v>
      </c>
      <c r="S211">
        <f t="shared" si="22"/>
        <v>0</v>
      </c>
      <c r="T211">
        <f t="shared" si="23"/>
        <v>0</v>
      </c>
    </row>
    <row r="212" spans="1:20">
      <c r="A212" s="2" t="s">
        <v>74</v>
      </c>
      <c r="B212" s="3">
        <v>45717</v>
      </c>
      <c r="C212" s="2" t="s">
        <v>15</v>
      </c>
      <c r="D212" s="2" t="s">
        <v>18</v>
      </c>
      <c r="E212" s="2">
        <v>107970.19</v>
      </c>
      <c r="F212" s="2">
        <v>12870</v>
      </c>
      <c r="G212" s="2">
        <v>2.9000000000000001E-2</v>
      </c>
      <c r="H212" s="2">
        <v>31</v>
      </c>
      <c r="I212" s="2">
        <v>91.7</v>
      </c>
      <c r="J212" s="2">
        <v>3.82</v>
      </c>
      <c r="K212" s="2">
        <v>1</v>
      </c>
      <c r="L212" s="2">
        <v>3.7</v>
      </c>
      <c r="M212" s="2">
        <v>946833.54</v>
      </c>
      <c r="N212" s="2">
        <v>184540.31</v>
      </c>
      <c r="O212">
        <f t="shared" si="18"/>
        <v>0</v>
      </c>
      <c r="P212">
        <f t="shared" si="19"/>
        <v>0</v>
      </c>
      <c r="Q212">
        <f t="shared" si="20"/>
        <v>0</v>
      </c>
      <c r="R212">
        <f t="shared" si="21"/>
        <v>1</v>
      </c>
      <c r="S212">
        <f t="shared" si="22"/>
        <v>0</v>
      </c>
      <c r="T212">
        <f t="shared" si="23"/>
        <v>0</v>
      </c>
    </row>
    <row r="213" spans="1:20">
      <c r="A213" s="2" t="s">
        <v>74</v>
      </c>
      <c r="B213" s="3">
        <v>45748</v>
      </c>
      <c r="C213" s="2" t="s">
        <v>15</v>
      </c>
      <c r="D213" s="2" t="s">
        <v>18</v>
      </c>
      <c r="E213" s="2">
        <v>49405.75</v>
      </c>
      <c r="F213" s="2">
        <v>9752</v>
      </c>
      <c r="G213" s="2">
        <v>9.2999999999999999E-2</v>
      </c>
      <c r="H213" s="2">
        <v>21</v>
      </c>
      <c r="I213" s="2">
        <v>87</v>
      </c>
      <c r="J213" s="2">
        <v>12.28</v>
      </c>
      <c r="K213" s="2">
        <v>0</v>
      </c>
      <c r="L213" s="2">
        <v>4.0999999999999996</v>
      </c>
      <c r="M213" s="2">
        <v>761963.23</v>
      </c>
      <c r="N213" s="2">
        <v>150113.60999999999</v>
      </c>
      <c r="O213">
        <f t="shared" si="18"/>
        <v>0</v>
      </c>
      <c r="P213">
        <f t="shared" si="19"/>
        <v>0</v>
      </c>
      <c r="Q213">
        <f t="shared" si="20"/>
        <v>0</v>
      </c>
      <c r="R213">
        <f t="shared" si="21"/>
        <v>1</v>
      </c>
      <c r="S213">
        <f t="shared" si="22"/>
        <v>0</v>
      </c>
      <c r="T213">
        <f t="shared" si="23"/>
        <v>0</v>
      </c>
    </row>
    <row r="214" spans="1:20">
      <c r="A214" s="2" t="s">
        <v>75</v>
      </c>
      <c r="B214" s="3">
        <v>45658</v>
      </c>
      <c r="C214" s="2" t="s">
        <v>27</v>
      </c>
      <c r="D214" s="2" t="s">
        <v>16</v>
      </c>
      <c r="E214" s="2">
        <v>50887.46</v>
      </c>
      <c r="F214" s="2">
        <v>9505</v>
      </c>
      <c r="G214" s="2">
        <v>9.0999999999999998E-2</v>
      </c>
      <c r="H214" s="2">
        <v>25</v>
      </c>
      <c r="I214" s="2">
        <v>89.7</v>
      </c>
      <c r="J214" s="2">
        <v>2.8</v>
      </c>
      <c r="K214" s="2">
        <v>0</v>
      </c>
      <c r="L214" s="2">
        <v>4.3</v>
      </c>
      <c r="M214" s="2">
        <v>812152.6</v>
      </c>
      <c r="N214" s="2">
        <v>138419.43</v>
      </c>
      <c r="O214">
        <f t="shared" si="18"/>
        <v>0</v>
      </c>
      <c r="P214">
        <f t="shared" si="19"/>
        <v>0</v>
      </c>
      <c r="Q214">
        <f t="shared" si="20"/>
        <v>1</v>
      </c>
      <c r="R214">
        <f t="shared" si="21"/>
        <v>0</v>
      </c>
      <c r="S214">
        <f t="shared" si="22"/>
        <v>0</v>
      </c>
      <c r="T214">
        <f t="shared" si="23"/>
        <v>0</v>
      </c>
    </row>
    <row r="215" spans="1:20">
      <c r="A215" s="2" t="s">
        <v>75</v>
      </c>
      <c r="B215" s="3">
        <v>45689</v>
      </c>
      <c r="C215" s="2" t="s">
        <v>27</v>
      </c>
      <c r="D215" s="2" t="s">
        <v>16</v>
      </c>
      <c r="E215" s="2">
        <v>41819.449999999997</v>
      </c>
      <c r="F215" s="2">
        <v>9412</v>
      </c>
      <c r="G215" s="2">
        <v>0.15</v>
      </c>
      <c r="H215" s="2">
        <v>22</v>
      </c>
      <c r="I215" s="2">
        <v>91</v>
      </c>
      <c r="J215" s="2">
        <v>3.67</v>
      </c>
      <c r="K215" s="2">
        <v>0</v>
      </c>
      <c r="L215" s="2">
        <v>4.2</v>
      </c>
      <c r="M215" s="2">
        <v>804975.5</v>
      </c>
      <c r="N215" s="2">
        <v>140054.5</v>
      </c>
      <c r="O215">
        <f t="shared" si="18"/>
        <v>0</v>
      </c>
      <c r="P215">
        <f t="shared" si="19"/>
        <v>0</v>
      </c>
      <c r="Q215">
        <f t="shared" si="20"/>
        <v>1</v>
      </c>
      <c r="R215">
        <f t="shared" si="21"/>
        <v>0</v>
      </c>
      <c r="S215">
        <f t="shared" si="22"/>
        <v>0</v>
      </c>
      <c r="T215">
        <f t="shared" si="23"/>
        <v>0</v>
      </c>
    </row>
    <row r="216" spans="1:20">
      <c r="A216" s="2" t="s">
        <v>75</v>
      </c>
      <c r="B216" s="3">
        <v>45717</v>
      </c>
      <c r="C216" s="2" t="s">
        <v>27</v>
      </c>
      <c r="D216" s="2" t="s">
        <v>16</v>
      </c>
      <c r="E216" s="2">
        <v>35296.54</v>
      </c>
      <c r="F216" s="2">
        <v>9644</v>
      </c>
      <c r="G216" s="2">
        <v>0</v>
      </c>
      <c r="H216" s="2">
        <v>22</v>
      </c>
      <c r="I216" s="2">
        <v>88</v>
      </c>
      <c r="J216" s="2">
        <v>2.81</v>
      </c>
      <c r="K216" s="2">
        <v>0</v>
      </c>
      <c r="L216" s="2">
        <v>4.7</v>
      </c>
      <c r="M216" s="2">
        <v>752321.72</v>
      </c>
      <c r="N216" s="2">
        <v>137788.51</v>
      </c>
      <c r="O216">
        <f t="shared" si="18"/>
        <v>0</v>
      </c>
      <c r="P216">
        <f t="shared" si="19"/>
        <v>0</v>
      </c>
      <c r="Q216">
        <f t="shared" si="20"/>
        <v>1</v>
      </c>
      <c r="R216">
        <f t="shared" si="21"/>
        <v>0</v>
      </c>
      <c r="S216">
        <f t="shared" si="22"/>
        <v>0</v>
      </c>
      <c r="T216">
        <f t="shared" si="23"/>
        <v>0</v>
      </c>
    </row>
    <row r="217" spans="1:20">
      <c r="A217" s="2" t="s">
        <v>75</v>
      </c>
      <c r="B217" s="3">
        <v>45748</v>
      </c>
      <c r="C217" s="2" t="s">
        <v>27</v>
      </c>
      <c r="D217" s="2" t="s">
        <v>16</v>
      </c>
      <c r="E217" s="2">
        <v>47391.09</v>
      </c>
      <c r="F217" s="2">
        <v>11224</v>
      </c>
      <c r="G217" s="2">
        <v>0.14699999999999999</v>
      </c>
      <c r="H217" s="2">
        <v>25</v>
      </c>
      <c r="I217" s="2">
        <v>88.4</v>
      </c>
      <c r="J217" s="2">
        <v>2.44</v>
      </c>
      <c r="K217" s="2">
        <v>0</v>
      </c>
      <c r="L217" s="2">
        <v>4.9000000000000004</v>
      </c>
      <c r="M217" s="2">
        <v>836908.24</v>
      </c>
      <c r="N217" s="2">
        <v>141090.26</v>
      </c>
      <c r="O217">
        <f t="shared" si="18"/>
        <v>0</v>
      </c>
      <c r="P217">
        <f t="shared" si="19"/>
        <v>0</v>
      </c>
      <c r="Q217">
        <f t="shared" si="20"/>
        <v>1</v>
      </c>
      <c r="R217">
        <f t="shared" si="21"/>
        <v>0</v>
      </c>
      <c r="S217">
        <f t="shared" si="22"/>
        <v>0</v>
      </c>
      <c r="T217">
        <f t="shared" si="23"/>
        <v>0</v>
      </c>
    </row>
    <row r="218" spans="1:20">
      <c r="A218" s="2" t="s">
        <v>76</v>
      </c>
      <c r="B218" s="3">
        <v>45658</v>
      </c>
      <c r="C218" s="2" t="s">
        <v>20</v>
      </c>
      <c r="D218" s="2" t="s">
        <v>21</v>
      </c>
      <c r="E218" s="2">
        <v>69180.539999999994</v>
      </c>
      <c r="F218" s="2">
        <v>5394</v>
      </c>
      <c r="G218" s="2">
        <v>0.126</v>
      </c>
      <c r="H218" s="2">
        <v>12</v>
      </c>
      <c r="I218" s="2">
        <v>82.9</v>
      </c>
      <c r="J218" s="2">
        <v>3.27</v>
      </c>
      <c r="K218" s="2">
        <v>0</v>
      </c>
      <c r="L218" s="2">
        <v>3.3</v>
      </c>
      <c r="M218" s="2">
        <v>674289.1</v>
      </c>
      <c r="N218" s="2">
        <v>117773.79</v>
      </c>
      <c r="O218">
        <f t="shared" si="18"/>
        <v>1</v>
      </c>
      <c r="P218">
        <f t="shared" si="19"/>
        <v>0</v>
      </c>
      <c r="Q218">
        <f t="shared" si="20"/>
        <v>0</v>
      </c>
      <c r="R218">
        <f t="shared" si="21"/>
        <v>0</v>
      </c>
      <c r="S218">
        <f t="shared" si="22"/>
        <v>1</v>
      </c>
      <c r="T218">
        <f t="shared" si="23"/>
        <v>0</v>
      </c>
    </row>
    <row r="219" spans="1:20">
      <c r="A219" s="2" t="s">
        <v>76</v>
      </c>
      <c r="B219" s="3">
        <v>45689</v>
      </c>
      <c r="C219" s="2" t="s">
        <v>20</v>
      </c>
      <c r="D219" s="2" t="s">
        <v>21</v>
      </c>
      <c r="E219" s="2">
        <v>33987.33</v>
      </c>
      <c r="F219" s="2">
        <v>5014</v>
      </c>
      <c r="G219" s="2">
        <v>0.246</v>
      </c>
      <c r="H219" s="2">
        <v>17</v>
      </c>
      <c r="I219" s="2">
        <v>94.3</v>
      </c>
      <c r="J219" s="2">
        <v>10.34</v>
      </c>
      <c r="K219" s="2">
        <v>0</v>
      </c>
      <c r="L219" s="2">
        <v>3.9</v>
      </c>
      <c r="M219" s="2">
        <v>622892.42000000004</v>
      </c>
      <c r="N219" s="2">
        <v>101032.52</v>
      </c>
      <c r="O219">
        <f t="shared" si="18"/>
        <v>1</v>
      </c>
      <c r="P219">
        <f t="shared" si="19"/>
        <v>0</v>
      </c>
      <c r="Q219">
        <f t="shared" si="20"/>
        <v>0</v>
      </c>
      <c r="R219">
        <f t="shared" si="21"/>
        <v>0</v>
      </c>
      <c r="S219">
        <f t="shared" si="22"/>
        <v>1</v>
      </c>
      <c r="T219">
        <f t="shared" si="23"/>
        <v>0</v>
      </c>
    </row>
    <row r="220" spans="1:20">
      <c r="A220" s="2" t="s">
        <v>76</v>
      </c>
      <c r="B220" s="3">
        <v>45717</v>
      </c>
      <c r="C220" s="2" t="s">
        <v>20</v>
      </c>
      <c r="D220" s="2" t="s">
        <v>21</v>
      </c>
      <c r="E220" s="2">
        <v>58785.33</v>
      </c>
      <c r="F220" s="2">
        <v>4467</v>
      </c>
      <c r="G220" s="2">
        <v>0.22900000000000001</v>
      </c>
      <c r="H220" s="2">
        <v>14</v>
      </c>
      <c r="I220" s="2">
        <v>90.7</v>
      </c>
      <c r="J220" s="2">
        <v>1.92</v>
      </c>
      <c r="K220" s="2">
        <v>0</v>
      </c>
      <c r="L220" s="2">
        <v>3.7</v>
      </c>
      <c r="M220" s="2">
        <v>673348.56</v>
      </c>
      <c r="N220" s="2">
        <v>69464.59</v>
      </c>
      <c r="O220">
        <f t="shared" si="18"/>
        <v>1</v>
      </c>
      <c r="P220">
        <f t="shared" si="19"/>
        <v>0</v>
      </c>
      <c r="Q220">
        <f t="shared" si="20"/>
        <v>0</v>
      </c>
      <c r="R220">
        <f t="shared" si="21"/>
        <v>0</v>
      </c>
      <c r="S220">
        <f t="shared" si="22"/>
        <v>1</v>
      </c>
      <c r="T220">
        <f t="shared" si="23"/>
        <v>0</v>
      </c>
    </row>
    <row r="221" spans="1:20">
      <c r="A221" s="2" t="s">
        <v>76</v>
      </c>
      <c r="B221" s="3">
        <v>45748</v>
      </c>
      <c r="C221" s="2" t="s">
        <v>20</v>
      </c>
      <c r="D221" s="2" t="s">
        <v>21</v>
      </c>
      <c r="E221" s="2">
        <v>16451.849999999999</v>
      </c>
      <c r="F221" s="2">
        <v>4678</v>
      </c>
      <c r="G221" s="2">
        <v>0.13300000000000001</v>
      </c>
      <c r="H221" s="2">
        <v>11</v>
      </c>
      <c r="I221" s="2">
        <v>95.9</v>
      </c>
      <c r="J221" s="2">
        <v>3.1</v>
      </c>
      <c r="K221" s="2">
        <v>0</v>
      </c>
      <c r="L221" s="2">
        <v>3.9</v>
      </c>
      <c r="M221" s="2">
        <v>606278.30000000005</v>
      </c>
      <c r="N221" s="2">
        <v>102213.26</v>
      </c>
      <c r="O221">
        <f t="shared" si="18"/>
        <v>1</v>
      </c>
      <c r="P221">
        <f t="shared" si="19"/>
        <v>0</v>
      </c>
      <c r="Q221">
        <f t="shared" si="20"/>
        <v>0</v>
      </c>
      <c r="R221">
        <f t="shared" si="21"/>
        <v>0</v>
      </c>
      <c r="S221">
        <f t="shared" si="22"/>
        <v>1</v>
      </c>
      <c r="T221">
        <f t="shared" si="23"/>
        <v>0</v>
      </c>
    </row>
    <row r="222" spans="1:20">
      <c r="A222" s="2" t="s">
        <v>77</v>
      </c>
      <c r="B222" s="3">
        <v>45658</v>
      </c>
      <c r="C222" s="2" t="s">
        <v>15</v>
      </c>
      <c r="D222" s="2" t="s">
        <v>18</v>
      </c>
      <c r="E222" s="2">
        <v>53367.73</v>
      </c>
      <c r="F222" s="2">
        <v>7291</v>
      </c>
      <c r="G222" s="2">
        <v>0.14599999999999999</v>
      </c>
      <c r="H222" s="2">
        <v>18</v>
      </c>
      <c r="I222" s="2">
        <v>90.6</v>
      </c>
      <c r="J222" s="2">
        <v>6.34</v>
      </c>
      <c r="K222" s="2">
        <v>1</v>
      </c>
      <c r="L222" s="2">
        <v>3.8</v>
      </c>
      <c r="M222" s="2">
        <v>712219.81</v>
      </c>
      <c r="N222" s="2">
        <v>85906.54</v>
      </c>
      <c r="O222">
        <f t="shared" si="18"/>
        <v>0</v>
      </c>
      <c r="P222">
        <f t="shared" si="19"/>
        <v>0</v>
      </c>
      <c r="Q222">
        <f t="shared" si="20"/>
        <v>0</v>
      </c>
      <c r="R222">
        <f t="shared" si="21"/>
        <v>1</v>
      </c>
      <c r="S222">
        <f t="shared" si="22"/>
        <v>0</v>
      </c>
      <c r="T222">
        <f t="shared" si="23"/>
        <v>0</v>
      </c>
    </row>
    <row r="223" spans="1:20">
      <c r="A223" s="2" t="s">
        <v>77</v>
      </c>
      <c r="B223" s="3">
        <v>45689</v>
      </c>
      <c r="C223" s="2" t="s">
        <v>15</v>
      </c>
      <c r="D223" s="2" t="s">
        <v>18</v>
      </c>
      <c r="E223" s="2">
        <v>27194.639999999999</v>
      </c>
      <c r="F223" s="2">
        <v>7404</v>
      </c>
      <c r="G223" s="2">
        <v>8.7999999999999995E-2</v>
      </c>
      <c r="H223" s="2">
        <v>18</v>
      </c>
      <c r="I223" s="2">
        <v>90.2</v>
      </c>
      <c r="J223" s="2">
        <v>1.2</v>
      </c>
      <c r="K223" s="2">
        <v>0</v>
      </c>
      <c r="L223" s="2">
        <v>3.4</v>
      </c>
      <c r="M223" s="2">
        <v>672670.54</v>
      </c>
      <c r="N223" s="2">
        <v>132684.18</v>
      </c>
      <c r="O223">
        <f t="shared" si="18"/>
        <v>0</v>
      </c>
      <c r="P223">
        <f t="shared" si="19"/>
        <v>0</v>
      </c>
      <c r="Q223">
        <f t="shared" si="20"/>
        <v>0</v>
      </c>
      <c r="R223">
        <f t="shared" si="21"/>
        <v>1</v>
      </c>
      <c r="S223">
        <f t="shared" si="22"/>
        <v>0</v>
      </c>
      <c r="T223">
        <f t="shared" si="23"/>
        <v>0</v>
      </c>
    </row>
    <row r="224" spans="1:20">
      <c r="A224" s="2" t="s">
        <v>77</v>
      </c>
      <c r="B224" s="3">
        <v>45717</v>
      </c>
      <c r="C224" s="2" t="s">
        <v>15</v>
      </c>
      <c r="D224" s="2" t="s">
        <v>18</v>
      </c>
      <c r="E224" s="2">
        <v>66962.740000000005</v>
      </c>
      <c r="F224" s="2">
        <v>7880</v>
      </c>
      <c r="G224" s="2">
        <v>0.11600000000000001</v>
      </c>
      <c r="H224" s="2">
        <v>19</v>
      </c>
      <c r="I224" s="2">
        <v>90.4</v>
      </c>
      <c r="J224" s="2">
        <v>4.5</v>
      </c>
      <c r="K224" s="2">
        <v>0</v>
      </c>
      <c r="L224" s="2">
        <v>3.3</v>
      </c>
      <c r="M224" s="2">
        <v>732667.92</v>
      </c>
      <c r="N224" s="2">
        <v>128654.46</v>
      </c>
      <c r="O224">
        <f t="shared" si="18"/>
        <v>0</v>
      </c>
      <c r="P224">
        <f t="shared" si="19"/>
        <v>0</v>
      </c>
      <c r="Q224">
        <f t="shared" si="20"/>
        <v>0</v>
      </c>
      <c r="R224">
        <f t="shared" si="21"/>
        <v>1</v>
      </c>
      <c r="S224">
        <f t="shared" si="22"/>
        <v>0</v>
      </c>
      <c r="T224">
        <f t="shared" si="23"/>
        <v>0</v>
      </c>
    </row>
    <row r="225" spans="1:20">
      <c r="A225" s="2" t="s">
        <v>77</v>
      </c>
      <c r="B225" s="3">
        <v>45748</v>
      </c>
      <c r="C225" s="2" t="s">
        <v>15</v>
      </c>
      <c r="D225" s="2" t="s">
        <v>18</v>
      </c>
      <c r="E225" s="2">
        <v>73540.990000000005</v>
      </c>
      <c r="F225" s="2">
        <v>8773</v>
      </c>
      <c r="G225" s="2">
        <v>3.5000000000000003E-2</v>
      </c>
      <c r="H225" s="2">
        <v>21</v>
      </c>
      <c r="I225" s="2">
        <v>84.4</v>
      </c>
      <c r="J225" s="2">
        <v>6.68</v>
      </c>
      <c r="K225" s="2">
        <v>0</v>
      </c>
      <c r="L225" s="2">
        <v>3.6</v>
      </c>
      <c r="M225" s="2">
        <v>723531.4</v>
      </c>
      <c r="N225" s="2">
        <v>108794.85</v>
      </c>
      <c r="O225">
        <f t="shared" si="18"/>
        <v>0</v>
      </c>
      <c r="P225">
        <f t="shared" si="19"/>
        <v>0</v>
      </c>
      <c r="Q225">
        <f t="shared" si="20"/>
        <v>0</v>
      </c>
      <c r="R225">
        <f t="shared" si="21"/>
        <v>1</v>
      </c>
      <c r="S225">
        <f t="shared" si="22"/>
        <v>0</v>
      </c>
      <c r="T225">
        <f t="shared" si="23"/>
        <v>0</v>
      </c>
    </row>
    <row r="226" spans="1:20">
      <c r="A226" s="2" t="s">
        <v>78</v>
      </c>
      <c r="B226" s="3">
        <v>45658</v>
      </c>
      <c r="C226" s="2" t="s">
        <v>15</v>
      </c>
      <c r="D226" s="2" t="s">
        <v>28</v>
      </c>
      <c r="E226" s="2">
        <v>68212.289999999994</v>
      </c>
      <c r="F226" s="2">
        <v>4713</v>
      </c>
      <c r="G226" s="2">
        <v>0.19800000000000001</v>
      </c>
      <c r="H226" s="2">
        <v>15</v>
      </c>
      <c r="I226" s="2">
        <v>82.6</v>
      </c>
      <c r="J226" s="2">
        <v>4.07</v>
      </c>
      <c r="K226" s="2">
        <v>1</v>
      </c>
      <c r="L226" s="2">
        <v>3</v>
      </c>
      <c r="M226" s="2">
        <v>641564.6</v>
      </c>
      <c r="N226" s="2">
        <v>90468.96</v>
      </c>
      <c r="O226">
        <f t="shared" si="18"/>
        <v>0</v>
      </c>
      <c r="P226">
        <f t="shared" si="19"/>
        <v>0</v>
      </c>
      <c r="Q226">
        <f t="shared" si="20"/>
        <v>0</v>
      </c>
      <c r="R226">
        <f t="shared" si="21"/>
        <v>0</v>
      </c>
      <c r="S226">
        <f t="shared" si="22"/>
        <v>0</v>
      </c>
      <c r="T226">
        <f t="shared" si="23"/>
        <v>1</v>
      </c>
    </row>
    <row r="227" spans="1:20">
      <c r="A227" s="2" t="s">
        <v>78</v>
      </c>
      <c r="B227" s="3">
        <v>45689</v>
      </c>
      <c r="C227" s="2" t="s">
        <v>15</v>
      </c>
      <c r="D227" s="2" t="s">
        <v>28</v>
      </c>
      <c r="E227" s="2">
        <v>57225.98</v>
      </c>
      <c r="F227" s="2">
        <v>2842</v>
      </c>
      <c r="G227" s="2">
        <v>0.112</v>
      </c>
      <c r="H227" s="2">
        <v>10</v>
      </c>
      <c r="I227" s="2">
        <v>79.5</v>
      </c>
      <c r="J227" s="2">
        <v>5.45</v>
      </c>
      <c r="K227" s="2">
        <v>0</v>
      </c>
      <c r="L227" s="2">
        <v>3.4</v>
      </c>
      <c r="M227" s="2">
        <v>536545.49</v>
      </c>
      <c r="N227" s="2">
        <v>97917.45</v>
      </c>
      <c r="O227">
        <f t="shared" si="18"/>
        <v>0</v>
      </c>
      <c r="P227">
        <f t="shared" si="19"/>
        <v>0</v>
      </c>
      <c r="Q227">
        <f t="shared" si="20"/>
        <v>0</v>
      </c>
      <c r="R227">
        <f t="shared" si="21"/>
        <v>0</v>
      </c>
      <c r="S227">
        <f t="shared" si="22"/>
        <v>0</v>
      </c>
      <c r="T227">
        <f t="shared" si="23"/>
        <v>1</v>
      </c>
    </row>
    <row r="228" spans="1:20">
      <c r="A228" s="2" t="s">
        <v>78</v>
      </c>
      <c r="B228" s="3">
        <v>45717</v>
      </c>
      <c r="C228" s="2" t="s">
        <v>15</v>
      </c>
      <c r="D228" s="2" t="s">
        <v>28</v>
      </c>
      <c r="E228" s="2">
        <v>42932.02</v>
      </c>
      <c r="F228" s="2">
        <v>3872</v>
      </c>
      <c r="G228" s="2">
        <v>0.17100000000000001</v>
      </c>
      <c r="H228" s="2">
        <v>12</v>
      </c>
      <c r="I228" s="2">
        <v>83.2</v>
      </c>
      <c r="J228" s="2">
        <v>15.58</v>
      </c>
      <c r="K228" s="2">
        <v>0</v>
      </c>
      <c r="L228" s="2">
        <v>3.3</v>
      </c>
      <c r="M228" s="2">
        <v>527681.56000000006</v>
      </c>
      <c r="N228" s="2">
        <v>63153.05</v>
      </c>
      <c r="O228">
        <f t="shared" si="18"/>
        <v>0</v>
      </c>
      <c r="P228">
        <f t="shared" si="19"/>
        <v>0</v>
      </c>
      <c r="Q228">
        <f t="shared" si="20"/>
        <v>0</v>
      </c>
      <c r="R228">
        <f t="shared" si="21"/>
        <v>0</v>
      </c>
      <c r="S228">
        <f t="shared" si="22"/>
        <v>0</v>
      </c>
      <c r="T228">
        <f t="shared" si="23"/>
        <v>1</v>
      </c>
    </row>
    <row r="229" spans="1:20">
      <c r="A229" s="2" t="s">
        <v>78</v>
      </c>
      <c r="B229" s="3">
        <v>45748</v>
      </c>
      <c r="C229" s="2" t="s">
        <v>15</v>
      </c>
      <c r="D229" s="2" t="s">
        <v>28</v>
      </c>
      <c r="E229" s="2">
        <v>39341.449999999997</v>
      </c>
      <c r="F229" s="2">
        <v>1375</v>
      </c>
      <c r="G229" s="2">
        <v>9.2999999999999999E-2</v>
      </c>
      <c r="H229" s="2">
        <v>5</v>
      </c>
      <c r="I229" s="2">
        <v>95</v>
      </c>
      <c r="J229" s="2">
        <v>5.32</v>
      </c>
      <c r="K229" s="2">
        <v>0</v>
      </c>
      <c r="L229" s="2"/>
      <c r="M229" s="2">
        <v>529598.93999999994</v>
      </c>
      <c r="N229" s="2">
        <v>84334.33</v>
      </c>
      <c r="O229">
        <f t="shared" si="18"/>
        <v>0</v>
      </c>
      <c r="P229">
        <f t="shared" si="19"/>
        <v>0</v>
      </c>
      <c r="Q229">
        <f t="shared" si="20"/>
        <v>0</v>
      </c>
      <c r="R229">
        <f t="shared" si="21"/>
        <v>0</v>
      </c>
      <c r="S229">
        <f t="shared" si="22"/>
        <v>0</v>
      </c>
      <c r="T229">
        <f t="shared" si="23"/>
        <v>1</v>
      </c>
    </row>
    <row r="230" spans="1:20">
      <c r="A230" s="2" t="s">
        <v>79</v>
      </c>
      <c r="B230" s="3">
        <v>45658</v>
      </c>
      <c r="C230" s="2" t="s">
        <v>15</v>
      </c>
      <c r="D230" s="2" t="s">
        <v>18</v>
      </c>
      <c r="E230" s="2">
        <v>37324.230000000003</v>
      </c>
      <c r="F230" s="2">
        <v>5957</v>
      </c>
      <c r="G230" s="2">
        <v>7.0999999999999994E-2</v>
      </c>
      <c r="H230" s="2">
        <v>12</v>
      </c>
      <c r="I230" s="2">
        <v>85.9</v>
      </c>
      <c r="J230" s="2">
        <v>0.37</v>
      </c>
      <c r="K230" s="2">
        <v>0</v>
      </c>
      <c r="L230" s="2">
        <v>3.8</v>
      </c>
      <c r="M230" s="2">
        <v>570963.31000000006</v>
      </c>
      <c r="N230" s="2">
        <v>87342.25</v>
      </c>
      <c r="O230">
        <f t="shared" si="18"/>
        <v>0</v>
      </c>
      <c r="P230">
        <f t="shared" si="19"/>
        <v>0</v>
      </c>
      <c r="Q230">
        <f t="shared" si="20"/>
        <v>0</v>
      </c>
      <c r="R230">
        <f t="shared" si="21"/>
        <v>1</v>
      </c>
      <c r="S230">
        <f t="shared" si="22"/>
        <v>0</v>
      </c>
      <c r="T230">
        <f t="shared" si="23"/>
        <v>0</v>
      </c>
    </row>
    <row r="231" spans="1:20">
      <c r="A231" s="2" t="s">
        <v>79</v>
      </c>
      <c r="B231" s="3">
        <v>45689</v>
      </c>
      <c r="C231" s="2" t="s">
        <v>15</v>
      </c>
      <c r="D231" s="2" t="s">
        <v>18</v>
      </c>
      <c r="E231" s="2">
        <v>113736</v>
      </c>
      <c r="F231" s="2">
        <v>8961</v>
      </c>
      <c r="G231" s="2">
        <v>0.20200000000000001</v>
      </c>
      <c r="H231" s="2">
        <v>24</v>
      </c>
      <c r="I231" s="2">
        <v>86.2</v>
      </c>
      <c r="J231" s="2">
        <v>21.63</v>
      </c>
      <c r="K231" s="2">
        <v>0</v>
      </c>
      <c r="L231" s="2">
        <v>4</v>
      </c>
      <c r="M231" s="2">
        <v>870937.4</v>
      </c>
      <c r="N231" s="2">
        <v>175282.74</v>
      </c>
      <c r="O231">
        <f t="shared" si="18"/>
        <v>0</v>
      </c>
      <c r="P231">
        <f t="shared" si="19"/>
        <v>0</v>
      </c>
      <c r="Q231">
        <f t="shared" si="20"/>
        <v>0</v>
      </c>
      <c r="R231">
        <f t="shared" si="21"/>
        <v>1</v>
      </c>
      <c r="S231">
        <f t="shared" si="22"/>
        <v>0</v>
      </c>
      <c r="T231">
        <f t="shared" si="23"/>
        <v>0</v>
      </c>
    </row>
    <row r="232" spans="1:20">
      <c r="A232" s="2" t="s">
        <v>79</v>
      </c>
      <c r="B232" s="3">
        <v>45717</v>
      </c>
      <c r="C232" s="2" t="s">
        <v>15</v>
      </c>
      <c r="D232" s="2" t="s">
        <v>18</v>
      </c>
      <c r="E232" s="2">
        <v>33173.949999999997</v>
      </c>
      <c r="F232" s="2">
        <v>6545</v>
      </c>
      <c r="G232" s="2">
        <v>0.16900000000000001</v>
      </c>
      <c r="H232" s="2">
        <v>15</v>
      </c>
      <c r="I232" s="2">
        <v>84.4</v>
      </c>
      <c r="J232" s="2">
        <v>2.48</v>
      </c>
      <c r="K232" s="2">
        <v>0</v>
      </c>
      <c r="L232" s="2">
        <v>3.9</v>
      </c>
      <c r="M232" s="2">
        <v>596969.27</v>
      </c>
      <c r="N232" s="2">
        <v>105669.51</v>
      </c>
      <c r="O232">
        <f t="shared" si="18"/>
        <v>0</v>
      </c>
      <c r="P232">
        <f t="shared" si="19"/>
        <v>0</v>
      </c>
      <c r="Q232">
        <f t="shared" si="20"/>
        <v>0</v>
      </c>
      <c r="R232">
        <f t="shared" si="21"/>
        <v>1</v>
      </c>
      <c r="S232">
        <f t="shared" si="22"/>
        <v>0</v>
      </c>
      <c r="T232">
        <f t="shared" si="23"/>
        <v>0</v>
      </c>
    </row>
    <row r="233" spans="1:20">
      <c r="A233" s="2" t="s">
        <v>79</v>
      </c>
      <c r="B233" s="3">
        <v>45748</v>
      </c>
      <c r="C233" s="2" t="s">
        <v>15</v>
      </c>
      <c r="D233" s="2" t="s">
        <v>18</v>
      </c>
      <c r="E233" s="2">
        <v>25818.080000000002</v>
      </c>
      <c r="F233" s="2">
        <v>5457</v>
      </c>
      <c r="G233" s="2">
        <v>0</v>
      </c>
      <c r="H233" s="2">
        <v>11</v>
      </c>
      <c r="I233" s="2">
        <v>95.4</v>
      </c>
      <c r="J233" s="2"/>
      <c r="K233" s="2">
        <v>0</v>
      </c>
      <c r="L233" s="2">
        <v>3.7</v>
      </c>
      <c r="M233" s="2">
        <v>647512.85</v>
      </c>
      <c r="N233" s="2">
        <v>153835.57</v>
      </c>
      <c r="O233">
        <f t="shared" si="18"/>
        <v>0</v>
      </c>
      <c r="P233">
        <f t="shared" si="19"/>
        <v>0</v>
      </c>
      <c r="Q233">
        <f t="shared" si="20"/>
        <v>0</v>
      </c>
      <c r="R233">
        <f t="shared" si="21"/>
        <v>1</v>
      </c>
      <c r="S233">
        <f t="shared" si="22"/>
        <v>0</v>
      </c>
      <c r="T233">
        <f t="shared" si="23"/>
        <v>0</v>
      </c>
    </row>
    <row r="234" spans="1:20">
      <c r="A234" s="2" t="s">
        <v>80</v>
      </c>
      <c r="B234" s="3">
        <v>45658</v>
      </c>
      <c r="C234" s="2" t="s">
        <v>27</v>
      </c>
      <c r="D234" s="2" t="s">
        <v>16</v>
      </c>
      <c r="E234" s="2">
        <v>47241.919999999998</v>
      </c>
      <c r="F234" s="2">
        <v>4264</v>
      </c>
      <c r="G234" s="2">
        <v>6.9000000000000006E-2</v>
      </c>
      <c r="H234" s="2">
        <v>13</v>
      </c>
      <c r="I234" s="2">
        <v>95.3</v>
      </c>
      <c r="J234" s="2">
        <v>0.85</v>
      </c>
      <c r="K234" s="2">
        <v>0</v>
      </c>
      <c r="L234" s="2">
        <v>4.3</v>
      </c>
      <c r="M234" s="2">
        <v>658072.14</v>
      </c>
      <c r="N234" s="2">
        <v>110595.89</v>
      </c>
      <c r="O234">
        <f t="shared" si="18"/>
        <v>0</v>
      </c>
      <c r="P234">
        <f t="shared" si="19"/>
        <v>0</v>
      </c>
      <c r="Q234">
        <f t="shared" si="20"/>
        <v>1</v>
      </c>
      <c r="R234">
        <f t="shared" si="21"/>
        <v>0</v>
      </c>
      <c r="S234">
        <f t="shared" si="22"/>
        <v>0</v>
      </c>
      <c r="T234">
        <f t="shared" si="23"/>
        <v>0</v>
      </c>
    </row>
    <row r="235" spans="1:20">
      <c r="A235" s="2" t="s">
        <v>80</v>
      </c>
      <c r="B235" s="3">
        <v>45689</v>
      </c>
      <c r="C235" s="2" t="s">
        <v>27</v>
      </c>
      <c r="D235" s="2" t="s">
        <v>16</v>
      </c>
      <c r="E235" s="2">
        <v>61650.79</v>
      </c>
      <c r="F235" s="2">
        <v>5321</v>
      </c>
      <c r="G235" s="2">
        <v>0.126</v>
      </c>
      <c r="H235" s="2">
        <v>17</v>
      </c>
      <c r="I235" s="2">
        <v>89.2</v>
      </c>
      <c r="J235" s="2">
        <v>2.13</v>
      </c>
      <c r="K235" s="2">
        <v>0</v>
      </c>
      <c r="L235" s="2">
        <v>4</v>
      </c>
      <c r="M235" s="2">
        <v>723305.11</v>
      </c>
      <c r="N235" s="2">
        <v>128468.7</v>
      </c>
      <c r="O235">
        <f t="shared" si="18"/>
        <v>0</v>
      </c>
      <c r="P235">
        <f t="shared" si="19"/>
        <v>0</v>
      </c>
      <c r="Q235">
        <f t="shared" si="20"/>
        <v>1</v>
      </c>
      <c r="R235">
        <f t="shared" si="21"/>
        <v>0</v>
      </c>
      <c r="S235">
        <f t="shared" si="22"/>
        <v>0</v>
      </c>
      <c r="T235">
        <f t="shared" si="23"/>
        <v>0</v>
      </c>
    </row>
    <row r="236" spans="1:20">
      <c r="A236" s="2" t="s">
        <v>80</v>
      </c>
      <c r="B236" s="3">
        <v>45717</v>
      </c>
      <c r="C236" s="2" t="s">
        <v>27</v>
      </c>
      <c r="D236" s="2" t="s">
        <v>16</v>
      </c>
      <c r="E236" s="2">
        <v>62582.71</v>
      </c>
      <c r="F236" s="2">
        <v>5479</v>
      </c>
      <c r="G236" s="2">
        <v>4.8000000000000001E-2</v>
      </c>
      <c r="H236" s="2">
        <v>16</v>
      </c>
      <c r="I236" s="2">
        <v>81.2</v>
      </c>
      <c r="J236" s="2">
        <v>1.46</v>
      </c>
      <c r="K236" s="2">
        <v>0</v>
      </c>
      <c r="L236" s="2">
        <v>4.5</v>
      </c>
      <c r="M236" s="2">
        <v>640666.53</v>
      </c>
      <c r="N236" s="2">
        <v>134919.16</v>
      </c>
      <c r="O236">
        <f t="shared" si="18"/>
        <v>0</v>
      </c>
      <c r="P236">
        <f t="shared" si="19"/>
        <v>0</v>
      </c>
      <c r="Q236">
        <f t="shared" si="20"/>
        <v>1</v>
      </c>
      <c r="R236">
        <f t="shared" si="21"/>
        <v>0</v>
      </c>
      <c r="S236">
        <f t="shared" si="22"/>
        <v>0</v>
      </c>
      <c r="T236">
        <f t="shared" si="23"/>
        <v>0</v>
      </c>
    </row>
    <row r="237" spans="1:20">
      <c r="A237" s="2" t="s">
        <v>80</v>
      </c>
      <c r="B237" s="3">
        <v>45748</v>
      </c>
      <c r="C237" s="2" t="s">
        <v>27</v>
      </c>
      <c r="D237" s="2" t="s">
        <v>16</v>
      </c>
      <c r="E237" s="2">
        <v>47944.14</v>
      </c>
      <c r="F237" s="2">
        <v>6169</v>
      </c>
      <c r="G237" s="2">
        <v>0.11899999999999999</v>
      </c>
      <c r="H237" s="2">
        <v>17</v>
      </c>
      <c r="I237" s="2">
        <v>92.2</v>
      </c>
      <c r="J237" s="2">
        <v>3.02</v>
      </c>
      <c r="K237" s="2">
        <v>0</v>
      </c>
      <c r="L237" s="2">
        <v>4.0999999999999996</v>
      </c>
      <c r="M237" s="2">
        <v>670629.48</v>
      </c>
      <c r="N237" s="2">
        <v>100140.8</v>
      </c>
      <c r="O237">
        <f t="shared" si="18"/>
        <v>0</v>
      </c>
      <c r="P237">
        <f t="shared" si="19"/>
        <v>0</v>
      </c>
      <c r="Q237">
        <f t="shared" si="20"/>
        <v>1</v>
      </c>
      <c r="R237">
        <f t="shared" si="21"/>
        <v>0</v>
      </c>
      <c r="S237">
        <f t="shared" si="22"/>
        <v>0</v>
      </c>
      <c r="T237">
        <f t="shared" si="23"/>
        <v>0</v>
      </c>
    </row>
    <row r="238" spans="1:20">
      <c r="A238" s="2" t="s">
        <v>81</v>
      </c>
      <c r="B238" s="3">
        <v>45658</v>
      </c>
      <c r="C238" s="2" t="s">
        <v>27</v>
      </c>
      <c r="D238" s="2" t="s">
        <v>28</v>
      </c>
      <c r="E238" s="2">
        <v>46495.4</v>
      </c>
      <c r="F238" s="2">
        <v>9908</v>
      </c>
      <c r="G238" s="2">
        <v>0.121</v>
      </c>
      <c r="H238" s="2">
        <v>22</v>
      </c>
      <c r="I238" s="2">
        <v>89.4</v>
      </c>
      <c r="J238" s="2">
        <v>3.22</v>
      </c>
      <c r="K238" s="2">
        <v>0</v>
      </c>
      <c r="L238" s="2">
        <v>3.7</v>
      </c>
      <c r="M238" s="2">
        <v>721079.35</v>
      </c>
      <c r="N238" s="2">
        <v>115295.05</v>
      </c>
      <c r="O238">
        <f t="shared" si="18"/>
        <v>0</v>
      </c>
      <c r="P238">
        <f t="shared" si="19"/>
        <v>0</v>
      </c>
      <c r="Q238">
        <f t="shared" si="20"/>
        <v>1</v>
      </c>
      <c r="R238">
        <f t="shared" si="21"/>
        <v>0</v>
      </c>
      <c r="S238">
        <f t="shared" si="22"/>
        <v>0</v>
      </c>
      <c r="T238">
        <f t="shared" si="23"/>
        <v>1</v>
      </c>
    </row>
    <row r="239" spans="1:20">
      <c r="A239" s="2" t="s">
        <v>81</v>
      </c>
      <c r="B239" s="3">
        <v>45689</v>
      </c>
      <c r="C239" s="2" t="s">
        <v>27</v>
      </c>
      <c r="D239" s="2" t="s">
        <v>28</v>
      </c>
      <c r="E239" s="2">
        <v>72961.95</v>
      </c>
      <c r="F239" s="2">
        <v>9996</v>
      </c>
      <c r="G239" s="2">
        <v>0.106</v>
      </c>
      <c r="H239" s="2">
        <v>22</v>
      </c>
      <c r="I239" s="2">
        <v>89.1</v>
      </c>
      <c r="J239" s="2">
        <v>15.66</v>
      </c>
      <c r="K239" s="2">
        <v>0</v>
      </c>
      <c r="L239" s="2">
        <v>3.4</v>
      </c>
      <c r="M239" s="2">
        <v>810355.02</v>
      </c>
      <c r="N239" s="2">
        <v>131510</v>
      </c>
      <c r="O239">
        <f t="shared" si="18"/>
        <v>0</v>
      </c>
      <c r="P239">
        <f t="shared" si="19"/>
        <v>0</v>
      </c>
      <c r="Q239">
        <f t="shared" si="20"/>
        <v>1</v>
      </c>
      <c r="R239">
        <f t="shared" si="21"/>
        <v>0</v>
      </c>
      <c r="S239">
        <f t="shared" si="22"/>
        <v>0</v>
      </c>
      <c r="T239">
        <f t="shared" si="23"/>
        <v>1</v>
      </c>
    </row>
    <row r="240" spans="1:20">
      <c r="A240" s="2" t="s">
        <v>81</v>
      </c>
      <c r="B240" s="3">
        <v>45717</v>
      </c>
      <c r="C240" s="2" t="s">
        <v>27</v>
      </c>
      <c r="D240" s="2" t="s">
        <v>28</v>
      </c>
      <c r="E240" s="2">
        <v>59060.05</v>
      </c>
      <c r="F240" s="2">
        <v>9702</v>
      </c>
      <c r="G240" s="2">
        <v>0.20100000000000001</v>
      </c>
      <c r="H240" s="2">
        <v>23</v>
      </c>
      <c r="I240" s="2">
        <v>80.900000000000006</v>
      </c>
      <c r="J240" s="2">
        <v>6.96</v>
      </c>
      <c r="K240" s="2">
        <v>0</v>
      </c>
      <c r="L240" s="2">
        <v>3.2</v>
      </c>
      <c r="M240" s="2">
        <v>761919.25</v>
      </c>
      <c r="N240" s="2">
        <v>111893.06</v>
      </c>
      <c r="O240">
        <f t="shared" si="18"/>
        <v>0</v>
      </c>
      <c r="P240">
        <f t="shared" si="19"/>
        <v>0</v>
      </c>
      <c r="Q240">
        <f t="shared" si="20"/>
        <v>1</v>
      </c>
      <c r="R240">
        <f t="shared" si="21"/>
        <v>0</v>
      </c>
      <c r="S240">
        <f t="shared" si="22"/>
        <v>0</v>
      </c>
      <c r="T240">
        <f t="shared" si="23"/>
        <v>1</v>
      </c>
    </row>
    <row r="241" spans="1:20">
      <c r="A241" s="2" t="s">
        <v>81</v>
      </c>
      <c r="B241" s="3">
        <v>45748</v>
      </c>
      <c r="C241" s="2" t="s">
        <v>27</v>
      </c>
      <c r="D241" s="2" t="s">
        <v>28</v>
      </c>
      <c r="E241" s="2">
        <v>26248.1</v>
      </c>
      <c r="F241" s="2">
        <v>9314</v>
      </c>
      <c r="G241" s="2">
        <v>0.186</v>
      </c>
      <c r="H241" s="2">
        <v>21</v>
      </c>
      <c r="I241" s="2">
        <v>83.7</v>
      </c>
      <c r="J241" s="2">
        <v>4.62</v>
      </c>
      <c r="K241" s="2">
        <v>0</v>
      </c>
      <c r="L241" s="2">
        <v>3.3</v>
      </c>
      <c r="M241" s="2">
        <v>737070.18</v>
      </c>
      <c r="N241" s="2">
        <v>117593.97</v>
      </c>
      <c r="O241">
        <f t="shared" si="18"/>
        <v>0</v>
      </c>
      <c r="P241">
        <f t="shared" si="19"/>
        <v>0</v>
      </c>
      <c r="Q241">
        <f t="shared" si="20"/>
        <v>1</v>
      </c>
      <c r="R241">
        <f t="shared" si="21"/>
        <v>0</v>
      </c>
      <c r="S241">
        <f t="shared" si="22"/>
        <v>0</v>
      </c>
      <c r="T241">
        <f t="shared" si="23"/>
        <v>1</v>
      </c>
    </row>
    <row r="242" spans="1:20">
      <c r="A242" s="2" t="s">
        <v>82</v>
      </c>
      <c r="B242" s="3">
        <v>45658</v>
      </c>
      <c r="C242" s="2" t="s">
        <v>24</v>
      </c>
      <c r="D242" s="2" t="s">
        <v>21</v>
      </c>
      <c r="E242" s="2">
        <v>69900.12</v>
      </c>
      <c r="F242" s="2">
        <v>8055</v>
      </c>
      <c r="G242" s="2">
        <v>0.28100000000000003</v>
      </c>
      <c r="H242" s="2">
        <v>22</v>
      </c>
      <c r="I242" s="2">
        <v>85.6</v>
      </c>
      <c r="J242" s="2">
        <v>10.68</v>
      </c>
      <c r="K242" s="2">
        <v>1</v>
      </c>
      <c r="L242" s="2">
        <v>2.9</v>
      </c>
      <c r="M242" s="2">
        <v>776992.93</v>
      </c>
      <c r="N242" s="2">
        <v>101598.32</v>
      </c>
      <c r="O242">
        <f t="shared" si="18"/>
        <v>0</v>
      </c>
      <c r="P242">
        <f t="shared" si="19"/>
        <v>1</v>
      </c>
      <c r="Q242">
        <f t="shared" si="20"/>
        <v>0</v>
      </c>
      <c r="R242">
        <f t="shared" si="21"/>
        <v>0</v>
      </c>
      <c r="S242">
        <f t="shared" si="22"/>
        <v>1</v>
      </c>
      <c r="T242">
        <f t="shared" si="23"/>
        <v>0</v>
      </c>
    </row>
    <row r="243" spans="1:20">
      <c r="A243" s="2" t="s">
        <v>82</v>
      </c>
      <c r="B243" s="3">
        <v>45689</v>
      </c>
      <c r="C243" s="2" t="s">
        <v>24</v>
      </c>
      <c r="D243" s="2" t="s">
        <v>21</v>
      </c>
      <c r="E243" s="2">
        <v>51781.599999999999</v>
      </c>
      <c r="F243" s="2">
        <v>5648</v>
      </c>
      <c r="G243" s="2">
        <v>5.8999999999999997E-2</v>
      </c>
      <c r="H243" s="2">
        <v>13</v>
      </c>
      <c r="I243" s="2">
        <v>85.5</v>
      </c>
      <c r="J243" s="2">
        <v>4.04</v>
      </c>
      <c r="K243" s="2">
        <v>0</v>
      </c>
      <c r="L243" s="2">
        <v>3.7</v>
      </c>
      <c r="M243" s="2">
        <v>676337.41</v>
      </c>
      <c r="N243" s="2">
        <v>104355.77</v>
      </c>
      <c r="O243">
        <f t="shared" si="18"/>
        <v>0</v>
      </c>
      <c r="P243">
        <f t="shared" si="19"/>
        <v>1</v>
      </c>
      <c r="Q243">
        <f t="shared" si="20"/>
        <v>0</v>
      </c>
      <c r="R243">
        <f t="shared" si="21"/>
        <v>0</v>
      </c>
      <c r="S243">
        <f t="shared" si="22"/>
        <v>1</v>
      </c>
      <c r="T243">
        <f t="shared" si="23"/>
        <v>0</v>
      </c>
    </row>
    <row r="244" spans="1:20">
      <c r="A244" s="2" t="s">
        <v>82</v>
      </c>
      <c r="B244" s="3">
        <v>45717</v>
      </c>
      <c r="C244" s="2" t="s">
        <v>24</v>
      </c>
      <c r="D244" s="2" t="s">
        <v>21</v>
      </c>
      <c r="E244" s="2">
        <v>70799.64</v>
      </c>
      <c r="F244" s="2">
        <v>10076</v>
      </c>
      <c r="G244" s="2">
        <v>0.152</v>
      </c>
      <c r="H244" s="2">
        <v>24</v>
      </c>
      <c r="I244" s="2">
        <v>84.8</v>
      </c>
      <c r="J244" s="2">
        <v>1.87</v>
      </c>
      <c r="K244" s="2">
        <v>0</v>
      </c>
      <c r="L244" s="2">
        <v>3.5</v>
      </c>
      <c r="M244" s="2">
        <v>828219.67</v>
      </c>
      <c r="N244" s="2">
        <v>179806.87</v>
      </c>
      <c r="O244">
        <f t="shared" si="18"/>
        <v>0</v>
      </c>
      <c r="P244">
        <f t="shared" si="19"/>
        <v>1</v>
      </c>
      <c r="Q244">
        <f t="shared" si="20"/>
        <v>0</v>
      </c>
      <c r="R244">
        <f t="shared" si="21"/>
        <v>0</v>
      </c>
      <c r="S244">
        <f t="shared" si="22"/>
        <v>1</v>
      </c>
      <c r="T244">
        <f t="shared" si="23"/>
        <v>0</v>
      </c>
    </row>
    <row r="245" spans="1:20">
      <c r="A245" s="2" t="s">
        <v>82</v>
      </c>
      <c r="B245" s="3">
        <v>45748</v>
      </c>
      <c r="C245" s="2" t="s">
        <v>24</v>
      </c>
      <c r="D245" s="2" t="s">
        <v>21</v>
      </c>
      <c r="E245" s="2">
        <v>53546.34</v>
      </c>
      <c r="F245" s="2">
        <v>8004</v>
      </c>
      <c r="G245" s="2">
        <v>0</v>
      </c>
      <c r="H245" s="2">
        <v>21</v>
      </c>
      <c r="I245" s="2">
        <v>95.2</v>
      </c>
      <c r="J245" s="2">
        <v>2.83</v>
      </c>
      <c r="K245" s="2">
        <v>0</v>
      </c>
      <c r="L245" s="2">
        <v>3</v>
      </c>
      <c r="M245" s="2">
        <v>763159.92</v>
      </c>
      <c r="N245" s="2">
        <v>177104.87</v>
      </c>
      <c r="O245">
        <f t="shared" si="18"/>
        <v>0</v>
      </c>
      <c r="P245">
        <f t="shared" si="19"/>
        <v>1</v>
      </c>
      <c r="Q245">
        <f t="shared" si="20"/>
        <v>0</v>
      </c>
      <c r="R245">
        <f t="shared" si="21"/>
        <v>0</v>
      </c>
      <c r="S245">
        <f t="shared" si="22"/>
        <v>1</v>
      </c>
      <c r="T245">
        <f t="shared" si="23"/>
        <v>0</v>
      </c>
    </row>
    <row r="246" spans="1:20">
      <c r="A246" s="2" t="s">
        <v>83</v>
      </c>
      <c r="B246" s="3">
        <v>45658</v>
      </c>
      <c r="C246" s="2" t="s">
        <v>15</v>
      </c>
      <c r="D246" s="2" t="s">
        <v>18</v>
      </c>
      <c r="E246" s="2">
        <v>76942.2</v>
      </c>
      <c r="F246" s="2">
        <v>8934</v>
      </c>
      <c r="G246" s="2">
        <v>8.4000000000000005E-2</v>
      </c>
      <c r="H246" s="2">
        <v>20</v>
      </c>
      <c r="I246" s="2">
        <v>91</v>
      </c>
      <c r="J246" s="2">
        <v>0.95</v>
      </c>
      <c r="K246" s="2">
        <v>0</v>
      </c>
      <c r="L246" s="2">
        <v>3.2</v>
      </c>
      <c r="M246" s="2">
        <v>802001.68</v>
      </c>
      <c r="N246" s="2">
        <v>159715.82</v>
      </c>
      <c r="O246">
        <f t="shared" si="18"/>
        <v>0</v>
      </c>
      <c r="P246">
        <f t="shared" si="19"/>
        <v>0</v>
      </c>
      <c r="Q246">
        <f t="shared" si="20"/>
        <v>0</v>
      </c>
      <c r="R246">
        <f t="shared" si="21"/>
        <v>1</v>
      </c>
      <c r="S246">
        <f t="shared" si="22"/>
        <v>0</v>
      </c>
      <c r="T246">
        <f t="shared" si="23"/>
        <v>0</v>
      </c>
    </row>
    <row r="247" spans="1:20">
      <c r="A247" s="2" t="s">
        <v>83</v>
      </c>
      <c r="B247" s="3">
        <v>45689</v>
      </c>
      <c r="C247" s="2" t="s">
        <v>15</v>
      </c>
      <c r="D247" s="2" t="s">
        <v>18</v>
      </c>
      <c r="E247" s="2">
        <v>48060.78</v>
      </c>
      <c r="F247" s="2">
        <v>8733</v>
      </c>
      <c r="G247" s="2">
        <v>0</v>
      </c>
      <c r="H247" s="2">
        <v>20</v>
      </c>
      <c r="I247" s="2">
        <v>89.9</v>
      </c>
      <c r="J247" s="2">
        <v>0.8</v>
      </c>
      <c r="K247" s="2">
        <v>0</v>
      </c>
      <c r="L247" s="2">
        <v>3.4</v>
      </c>
      <c r="M247" s="2">
        <v>750471.34</v>
      </c>
      <c r="N247" s="2">
        <v>133788.04</v>
      </c>
      <c r="O247">
        <f t="shared" si="18"/>
        <v>0</v>
      </c>
      <c r="P247">
        <f t="shared" si="19"/>
        <v>0</v>
      </c>
      <c r="Q247">
        <f t="shared" si="20"/>
        <v>0</v>
      </c>
      <c r="R247">
        <f t="shared" si="21"/>
        <v>1</v>
      </c>
      <c r="S247">
        <f t="shared" si="22"/>
        <v>0</v>
      </c>
      <c r="T247">
        <f t="shared" si="23"/>
        <v>0</v>
      </c>
    </row>
    <row r="248" spans="1:20">
      <c r="A248" s="2" t="s">
        <v>83</v>
      </c>
      <c r="B248" s="3">
        <v>45717</v>
      </c>
      <c r="C248" s="2" t="s">
        <v>15</v>
      </c>
      <c r="D248" s="2" t="s">
        <v>18</v>
      </c>
      <c r="E248" s="2">
        <v>57390.04</v>
      </c>
      <c r="F248" s="2">
        <v>7374</v>
      </c>
      <c r="G248" s="2">
        <v>0.21</v>
      </c>
      <c r="H248" s="2">
        <v>21</v>
      </c>
      <c r="I248" s="2">
        <v>91.8</v>
      </c>
      <c r="J248" s="2">
        <v>0.2</v>
      </c>
      <c r="K248" s="2">
        <v>0</v>
      </c>
      <c r="L248" s="2">
        <v>3.1</v>
      </c>
      <c r="M248" s="2">
        <v>679230.86</v>
      </c>
      <c r="N248" s="2">
        <v>106927.58</v>
      </c>
      <c r="O248">
        <f t="shared" si="18"/>
        <v>0</v>
      </c>
      <c r="P248">
        <f t="shared" si="19"/>
        <v>0</v>
      </c>
      <c r="Q248">
        <f t="shared" si="20"/>
        <v>0</v>
      </c>
      <c r="R248">
        <f t="shared" si="21"/>
        <v>1</v>
      </c>
      <c r="S248">
        <f t="shared" si="22"/>
        <v>0</v>
      </c>
      <c r="T248">
        <f t="shared" si="23"/>
        <v>0</v>
      </c>
    </row>
    <row r="249" spans="1:20">
      <c r="A249" s="2" t="s">
        <v>83</v>
      </c>
      <c r="B249" s="3">
        <v>45748</v>
      </c>
      <c r="C249" s="2" t="s">
        <v>15</v>
      </c>
      <c r="D249" s="2" t="s">
        <v>18</v>
      </c>
      <c r="E249" s="2">
        <v>21536.18</v>
      </c>
      <c r="F249" s="2">
        <v>8119</v>
      </c>
      <c r="G249" s="2">
        <v>0.22700000000000001</v>
      </c>
      <c r="H249" s="2">
        <v>20</v>
      </c>
      <c r="I249" s="2">
        <v>90.4</v>
      </c>
      <c r="J249" s="2">
        <v>1.7</v>
      </c>
      <c r="K249" s="2">
        <v>0</v>
      </c>
      <c r="L249" s="2">
        <v>3.3</v>
      </c>
      <c r="M249" s="2">
        <v>679888.74</v>
      </c>
      <c r="N249" s="2">
        <v>83406.89</v>
      </c>
      <c r="O249">
        <f t="shared" si="18"/>
        <v>0</v>
      </c>
      <c r="P249">
        <f t="shared" si="19"/>
        <v>0</v>
      </c>
      <c r="Q249">
        <f t="shared" si="20"/>
        <v>0</v>
      </c>
      <c r="R249">
        <f t="shared" si="21"/>
        <v>1</v>
      </c>
      <c r="S249">
        <f t="shared" si="22"/>
        <v>0</v>
      </c>
      <c r="T249">
        <f t="shared" si="23"/>
        <v>0</v>
      </c>
    </row>
    <row r="250" spans="1:20">
      <c r="A250" s="2" t="s">
        <v>84</v>
      </c>
      <c r="B250" s="3">
        <v>45658</v>
      </c>
      <c r="C250" s="2" t="s">
        <v>20</v>
      </c>
      <c r="D250" s="2" t="s">
        <v>18</v>
      </c>
      <c r="E250" s="2">
        <v>40923.67</v>
      </c>
      <c r="F250" s="2">
        <v>3875</v>
      </c>
      <c r="G250" s="2">
        <v>0.15</v>
      </c>
      <c r="H250" s="2">
        <v>10</v>
      </c>
      <c r="I250" s="2">
        <v>96.1</v>
      </c>
      <c r="J250" s="2"/>
      <c r="K250" s="2">
        <v>0</v>
      </c>
      <c r="L250" s="2">
        <v>3.8</v>
      </c>
      <c r="M250" s="2">
        <v>606783.67000000004</v>
      </c>
      <c r="N250" s="2">
        <v>74515.87</v>
      </c>
      <c r="O250">
        <f t="shared" si="18"/>
        <v>1</v>
      </c>
      <c r="P250">
        <f t="shared" si="19"/>
        <v>0</v>
      </c>
      <c r="Q250">
        <f t="shared" si="20"/>
        <v>0</v>
      </c>
      <c r="R250">
        <f t="shared" si="21"/>
        <v>1</v>
      </c>
      <c r="S250">
        <f t="shared" si="22"/>
        <v>0</v>
      </c>
      <c r="T250">
        <f t="shared" si="23"/>
        <v>0</v>
      </c>
    </row>
    <row r="251" spans="1:20">
      <c r="A251" s="2" t="s">
        <v>84</v>
      </c>
      <c r="B251" s="3">
        <v>45689</v>
      </c>
      <c r="C251" s="2" t="s">
        <v>20</v>
      </c>
      <c r="D251" s="2" t="s">
        <v>18</v>
      </c>
      <c r="E251" s="2">
        <v>72932.55</v>
      </c>
      <c r="F251" s="2">
        <v>5765</v>
      </c>
      <c r="G251" s="2">
        <v>2.5999999999999999E-2</v>
      </c>
      <c r="H251" s="2">
        <v>17</v>
      </c>
      <c r="I251" s="2">
        <v>81.8</v>
      </c>
      <c r="J251" s="2">
        <v>5.0999999999999996</v>
      </c>
      <c r="K251" s="2">
        <v>0</v>
      </c>
      <c r="L251" s="2">
        <v>3.6</v>
      </c>
      <c r="M251" s="2">
        <v>642751.42000000004</v>
      </c>
      <c r="N251" s="2">
        <v>131942.15</v>
      </c>
      <c r="O251">
        <f t="shared" si="18"/>
        <v>1</v>
      </c>
      <c r="P251">
        <f t="shared" si="19"/>
        <v>0</v>
      </c>
      <c r="Q251">
        <f t="shared" si="20"/>
        <v>0</v>
      </c>
      <c r="R251">
        <f t="shared" si="21"/>
        <v>1</v>
      </c>
      <c r="S251">
        <f t="shared" si="22"/>
        <v>0</v>
      </c>
      <c r="T251">
        <f t="shared" si="23"/>
        <v>0</v>
      </c>
    </row>
    <row r="252" spans="1:20">
      <c r="A252" s="2" t="s">
        <v>84</v>
      </c>
      <c r="B252" s="3">
        <v>45717</v>
      </c>
      <c r="C252" s="2" t="s">
        <v>20</v>
      </c>
      <c r="D252" s="2" t="s">
        <v>18</v>
      </c>
      <c r="E252" s="2">
        <v>38361.93</v>
      </c>
      <c r="F252" s="2">
        <v>6322</v>
      </c>
      <c r="G252" s="2">
        <v>0.27300000000000002</v>
      </c>
      <c r="H252" s="2">
        <v>15</v>
      </c>
      <c r="I252" s="2">
        <v>88.4</v>
      </c>
      <c r="J252" s="2">
        <v>0.83</v>
      </c>
      <c r="K252" s="2">
        <v>0</v>
      </c>
      <c r="L252" s="2">
        <v>4</v>
      </c>
      <c r="M252" s="2">
        <v>647953.78</v>
      </c>
      <c r="N252" s="2">
        <v>118497.43</v>
      </c>
      <c r="O252">
        <f t="shared" si="18"/>
        <v>1</v>
      </c>
      <c r="P252">
        <f t="shared" si="19"/>
        <v>0</v>
      </c>
      <c r="Q252">
        <f t="shared" si="20"/>
        <v>0</v>
      </c>
      <c r="R252">
        <f t="shared" si="21"/>
        <v>1</v>
      </c>
      <c r="S252">
        <f t="shared" si="22"/>
        <v>0</v>
      </c>
      <c r="T252">
        <f t="shared" si="23"/>
        <v>0</v>
      </c>
    </row>
    <row r="253" spans="1:20">
      <c r="A253" s="2" t="s">
        <v>84</v>
      </c>
      <c r="B253" s="3">
        <v>45748</v>
      </c>
      <c r="C253" s="2" t="s">
        <v>20</v>
      </c>
      <c r="D253" s="2" t="s">
        <v>18</v>
      </c>
      <c r="E253" s="2">
        <v>97480.94</v>
      </c>
      <c r="F253" s="2">
        <v>6840</v>
      </c>
      <c r="G253" s="2">
        <v>8.6999999999999994E-2</v>
      </c>
      <c r="H253" s="2">
        <v>14</v>
      </c>
      <c r="I253" s="2">
        <v>79.2</v>
      </c>
      <c r="J253" s="2">
        <v>1.1399999999999999</v>
      </c>
      <c r="K253" s="2">
        <v>0</v>
      </c>
      <c r="L253" s="2">
        <v>4</v>
      </c>
      <c r="M253" s="2">
        <v>729440.45</v>
      </c>
      <c r="N253" s="2">
        <v>87614.29</v>
      </c>
      <c r="O253">
        <f t="shared" si="18"/>
        <v>1</v>
      </c>
      <c r="P253">
        <f t="shared" si="19"/>
        <v>0</v>
      </c>
      <c r="Q253">
        <f t="shared" si="20"/>
        <v>0</v>
      </c>
      <c r="R253">
        <f t="shared" si="21"/>
        <v>1</v>
      </c>
      <c r="S253">
        <f t="shared" si="22"/>
        <v>0</v>
      </c>
      <c r="T253">
        <f t="shared" si="23"/>
        <v>0</v>
      </c>
    </row>
    <row r="254" spans="1:20">
      <c r="A254" s="2" t="s">
        <v>85</v>
      </c>
      <c r="B254" s="3">
        <v>45658</v>
      </c>
      <c r="C254" s="2" t="s">
        <v>24</v>
      </c>
      <c r="D254" s="2" t="s">
        <v>21</v>
      </c>
      <c r="E254" s="2">
        <v>81801.8</v>
      </c>
      <c r="F254" s="2">
        <v>6782</v>
      </c>
      <c r="G254" s="2">
        <v>0.05</v>
      </c>
      <c r="H254" s="2">
        <v>16</v>
      </c>
      <c r="I254" s="2">
        <v>99</v>
      </c>
      <c r="J254" s="2">
        <v>9.5399999999999991</v>
      </c>
      <c r="K254" s="2">
        <v>0</v>
      </c>
      <c r="L254" s="2">
        <v>3.7</v>
      </c>
      <c r="M254" s="2">
        <v>764949</v>
      </c>
      <c r="N254" s="2">
        <v>148322.43</v>
      </c>
      <c r="O254">
        <f t="shared" si="18"/>
        <v>0</v>
      </c>
      <c r="P254">
        <f t="shared" si="19"/>
        <v>1</v>
      </c>
      <c r="Q254">
        <f t="shared" si="20"/>
        <v>0</v>
      </c>
      <c r="R254">
        <f t="shared" si="21"/>
        <v>0</v>
      </c>
      <c r="S254">
        <f t="shared" si="22"/>
        <v>1</v>
      </c>
      <c r="T254">
        <f t="shared" si="23"/>
        <v>0</v>
      </c>
    </row>
    <row r="255" spans="1:20">
      <c r="A255" s="2" t="s">
        <v>85</v>
      </c>
      <c r="B255" s="3">
        <v>45689</v>
      </c>
      <c r="C255" s="2" t="s">
        <v>24</v>
      </c>
      <c r="D255" s="2" t="s">
        <v>21</v>
      </c>
      <c r="E255" s="2">
        <v>63582.11</v>
      </c>
      <c r="F255" s="2">
        <v>6856</v>
      </c>
      <c r="G255" s="2">
        <v>7.3999999999999996E-2</v>
      </c>
      <c r="H255" s="2">
        <v>17</v>
      </c>
      <c r="I255" s="2">
        <v>89.5</v>
      </c>
      <c r="J255" s="2">
        <v>5.48</v>
      </c>
      <c r="K255" s="2">
        <v>0</v>
      </c>
      <c r="L255" s="2">
        <v>3.2</v>
      </c>
      <c r="M255" s="2">
        <v>799046.94</v>
      </c>
      <c r="N255" s="2">
        <v>144553.64000000001</v>
      </c>
      <c r="O255">
        <f t="shared" si="18"/>
        <v>0</v>
      </c>
      <c r="P255">
        <f t="shared" si="19"/>
        <v>1</v>
      </c>
      <c r="Q255">
        <f t="shared" si="20"/>
        <v>0</v>
      </c>
      <c r="R255">
        <f t="shared" si="21"/>
        <v>0</v>
      </c>
      <c r="S255">
        <f t="shared" si="22"/>
        <v>1</v>
      </c>
      <c r="T255">
        <f t="shared" si="23"/>
        <v>0</v>
      </c>
    </row>
    <row r="256" spans="1:20">
      <c r="A256" s="2" t="s">
        <v>85</v>
      </c>
      <c r="B256" s="3">
        <v>45717</v>
      </c>
      <c r="C256" s="2" t="s">
        <v>24</v>
      </c>
      <c r="D256" s="2" t="s">
        <v>21</v>
      </c>
      <c r="E256" s="2">
        <v>75412.740000000005</v>
      </c>
      <c r="F256" s="2">
        <v>5641</v>
      </c>
      <c r="G256" s="2">
        <v>5.8999999999999997E-2</v>
      </c>
      <c r="H256" s="2">
        <v>13</v>
      </c>
      <c r="I256" s="2">
        <v>87.9</v>
      </c>
      <c r="J256" s="2">
        <v>0.84</v>
      </c>
      <c r="K256" s="2">
        <v>0</v>
      </c>
      <c r="L256" s="2">
        <v>3.6</v>
      </c>
      <c r="M256" s="2">
        <v>720079.54</v>
      </c>
      <c r="N256" s="2">
        <v>119499.47</v>
      </c>
      <c r="O256">
        <f t="shared" si="18"/>
        <v>0</v>
      </c>
      <c r="P256">
        <f t="shared" si="19"/>
        <v>1</v>
      </c>
      <c r="Q256">
        <f t="shared" si="20"/>
        <v>0</v>
      </c>
      <c r="R256">
        <f t="shared" si="21"/>
        <v>0</v>
      </c>
      <c r="S256">
        <f t="shared" si="22"/>
        <v>1</v>
      </c>
      <c r="T256">
        <f t="shared" si="23"/>
        <v>0</v>
      </c>
    </row>
    <row r="257" spans="1:20">
      <c r="A257" s="2" t="s">
        <v>85</v>
      </c>
      <c r="B257" s="3">
        <v>45748</v>
      </c>
      <c r="C257" s="2" t="s">
        <v>24</v>
      </c>
      <c r="D257" s="2" t="s">
        <v>21</v>
      </c>
      <c r="E257" s="2">
        <v>36290.080000000002</v>
      </c>
      <c r="F257" s="2">
        <v>5787</v>
      </c>
      <c r="G257" s="2">
        <v>0</v>
      </c>
      <c r="H257" s="2">
        <v>17</v>
      </c>
      <c r="I257" s="2">
        <v>88.3</v>
      </c>
      <c r="J257" s="2">
        <v>4.1900000000000004</v>
      </c>
      <c r="K257" s="2">
        <v>0</v>
      </c>
      <c r="L257" s="2">
        <v>4.0999999999999996</v>
      </c>
      <c r="M257" s="2">
        <v>612390.14</v>
      </c>
      <c r="N257" s="2">
        <v>108985.74</v>
      </c>
      <c r="O257">
        <f t="shared" si="18"/>
        <v>0</v>
      </c>
      <c r="P257">
        <f t="shared" si="19"/>
        <v>1</v>
      </c>
      <c r="Q257">
        <f t="shared" si="20"/>
        <v>0</v>
      </c>
      <c r="R257">
        <f t="shared" si="21"/>
        <v>0</v>
      </c>
      <c r="S257">
        <f t="shared" si="22"/>
        <v>1</v>
      </c>
      <c r="T257">
        <f t="shared" si="23"/>
        <v>0</v>
      </c>
    </row>
    <row r="258" spans="1:20">
      <c r="A258" s="2" t="s">
        <v>86</v>
      </c>
      <c r="B258" s="3">
        <v>45658</v>
      </c>
      <c r="C258" s="2" t="s">
        <v>24</v>
      </c>
      <c r="D258" s="2" t="s">
        <v>28</v>
      </c>
      <c r="E258" s="2">
        <v>65272.58</v>
      </c>
      <c r="F258" s="2">
        <v>8165</v>
      </c>
      <c r="G258" s="2">
        <v>5.0999999999999997E-2</v>
      </c>
      <c r="H258" s="2">
        <v>19</v>
      </c>
      <c r="I258" s="2">
        <v>87.8</v>
      </c>
      <c r="J258" s="2">
        <v>1.26</v>
      </c>
      <c r="K258" s="2">
        <v>1</v>
      </c>
      <c r="L258" s="2">
        <v>4.3</v>
      </c>
      <c r="M258" s="2">
        <v>840108.12</v>
      </c>
      <c r="N258" s="2">
        <v>126587.01</v>
      </c>
      <c r="O258">
        <f t="shared" si="18"/>
        <v>0</v>
      </c>
      <c r="P258">
        <f t="shared" si="19"/>
        <v>1</v>
      </c>
      <c r="Q258">
        <f t="shared" si="20"/>
        <v>0</v>
      </c>
      <c r="R258">
        <f t="shared" si="21"/>
        <v>0</v>
      </c>
      <c r="S258">
        <f t="shared" si="22"/>
        <v>0</v>
      </c>
      <c r="T258">
        <f t="shared" si="23"/>
        <v>1</v>
      </c>
    </row>
    <row r="259" spans="1:20">
      <c r="A259" s="2" t="s">
        <v>86</v>
      </c>
      <c r="B259" s="3">
        <v>45689</v>
      </c>
      <c r="C259" s="2" t="s">
        <v>24</v>
      </c>
      <c r="D259" s="2" t="s">
        <v>28</v>
      </c>
      <c r="E259" s="2">
        <v>28670.43</v>
      </c>
      <c r="F259" s="2">
        <v>7574</v>
      </c>
      <c r="G259" s="2">
        <v>0.114</v>
      </c>
      <c r="H259" s="2">
        <v>19</v>
      </c>
      <c r="I259" s="2">
        <v>82.7</v>
      </c>
      <c r="J259" s="2">
        <v>2.74</v>
      </c>
      <c r="K259" s="2">
        <v>0</v>
      </c>
      <c r="L259" s="2">
        <v>4.5999999999999996</v>
      </c>
      <c r="M259" s="2">
        <v>697888.09</v>
      </c>
      <c r="N259" s="2">
        <v>116249.87</v>
      </c>
      <c r="O259">
        <f t="shared" ref="O259:O321" si="24">IF($C259="North", 1, 0)</f>
        <v>0</v>
      </c>
      <c r="P259">
        <f t="shared" ref="P259:P321" si="25">IF($C259="South", 1, 0)</f>
        <v>1</v>
      </c>
      <c r="Q259">
        <f t="shared" ref="Q259:Q321" si="26">IF($C259="West", 1, 0)</f>
        <v>0</v>
      </c>
      <c r="R259">
        <f t="shared" ref="R259:R321" si="27">IF($D259="High Street", 1, 0)</f>
        <v>0</v>
      </c>
      <c r="S259">
        <f t="shared" ref="S259:S321" si="28">IF($D259="Airport", 1, 0)</f>
        <v>0</v>
      </c>
      <c r="T259">
        <f t="shared" ref="T259:T321" si="29">IF($D259="Mall", 1, 0)</f>
        <v>1</v>
      </c>
    </row>
    <row r="260" spans="1:20">
      <c r="A260" s="2" t="s">
        <v>86</v>
      </c>
      <c r="B260" s="3">
        <v>45717</v>
      </c>
      <c r="C260" s="2" t="s">
        <v>24</v>
      </c>
      <c r="D260" s="2" t="s">
        <v>28</v>
      </c>
      <c r="E260" s="2">
        <v>44189.34</v>
      </c>
      <c r="F260" s="2">
        <v>8634</v>
      </c>
      <c r="G260" s="2">
        <v>0.14299999999999999</v>
      </c>
      <c r="H260" s="2">
        <v>19</v>
      </c>
      <c r="I260" s="2">
        <v>87.5</v>
      </c>
      <c r="J260" s="2">
        <v>3.69</v>
      </c>
      <c r="K260" s="2">
        <v>0</v>
      </c>
      <c r="L260" s="2">
        <v>4.4000000000000004</v>
      </c>
      <c r="M260" s="2">
        <v>746115.59</v>
      </c>
      <c r="N260" s="2">
        <v>94662.96</v>
      </c>
      <c r="O260">
        <f t="shared" si="24"/>
        <v>0</v>
      </c>
      <c r="P260">
        <f t="shared" si="25"/>
        <v>1</v>
      </c>
      <c r="Q260">
        <f t="shared" si="26"/>
        <v>0</v>
      </c>
      <c r="R260">
        <f t="shared" si="27"/>
        <v>0</v>
      </c>
      <c r="S260">
        <f t="shared" si="28"/>
        <v>0</v>
      </c>
      <c r="T260">
        <f t="shared" si="29"/>
        <v>1</v>
      </c>
    </row>
    <row r="261" spans="1:20">
      <c r="A261" s="2" t="s">
        <v>86</v>
      </c>
      <c r="B261" s="3">
        <v>45748</v>
      </c>
      <c r="C261" s="2" t="s">
        <v>24</v>
      </c>
      <c r="D261" s="2" t="s">
        <v>28</v>
      </c>
      <c r="E261" s="2">
        <v>38397.82</v>
      </c>
      <c r="F261" s="2">
        <v>7836</v>
      </c>
      <c r="G261" s="2">
        <v>7.0000000000000001E-3</v>
      </c>
      <c r="H261" s="2">
        <v>21</v>
      </c>
      <c r="I261" s="2">
        <v>92.2</v>
      </c>
      <c r="J261" s="2">
        <v>1.82</v>
      </c>
      <c r="K261" s="2">
        <v>0</v>
      </c>
      <c r="L261" s="2">
        <v>3.6</v>
      </c>
      <c r="M261" s="2">
        <v>776110.32</v>
      </c>
      <c r="N261" s="2">
        <v>139676.21</v>
      </c>
      <c r="O261">
        <f t="shared" si="24"/>
        <v>0</v>
      </c>
      <c r="P261">
        <f t="shared" si="25"/>
        <v>1</v>
      </c>
      <c r="Q261">
        <f t="shared" si="26"/>
        <v>0</v>
      </c>
      <c r="R261">
        <f t="shared" si="27"/>
        <v>0</v>
      </c>
      <c r="S261">
        <f t="shared" si="28"/>
        <v>0</v>
      </c>
      <c r="T261">
        <f t="shared" si="29"/>
        <v>1</v>
      </c>
    </row>
    <row r="262" spans="1:20">
      <c r="A262" s="2" t="s">
        <v>87</v>
      </c>
      <c r="B262" s="3">
        <v>45658</v>
      </c>
      <c r="C262" s="2" t="s">
        <v>27</v>
      </c>
      <c r="D262" s="2" t="s">
        <v>18</v>
      </c>
      <c r="E262" s="2">
        <v>14519.37</v>
      </c>
      <c r="F262" s="2">
        <v>3047</v>
      </c>
      <c r="G262" s="2">
        <v>0.13500000000000001</v>
      </c>
      <c r="H262" s="2">
        <v>10</v>
      </c>
      <c r="I262" s="2">
        <v>90.3</v>
      </c>
      <c r="J262" s="2">
        <v>6.62</v>
      </c>
      <c r="K262" s="2">
        <v>0</v>
      </c>
      <c r="L262" s="2">
        <v>4.2</v>
      </c>
      <c r="M262" s="2">
        <v>528852.62</v>
      </c>
      <c r="N262" s="2">
        <v>68426.210000000006</v>
      </c>
      <c r="O262">
        <f t="shared" si="24"/>
        <v>0</v>
      </c>
      <c r="P262">
        <f t="shared" si="25"/>
        <v>0</v>
      </c>
      <c r="Q262">
        <f t="shared" si="26"/>
        <v>1</v>
      </c>
      <c r="R262">
        <f t="shared" si="27"/>
        <v>1</v>
      </c>
      <c r="S262">
        <f t="shared" si="28"/>
        <v>0</v>
      </c>
      <c r="T262">
        <f t="shared" si="29"/>
        <v>0</v>
      </c>
    </row>
    <row r="263" spans="1:20">
      <c r="A263" s="2" t="s">
        <v>87</v>
      </c>
      <c r="B263" s="3">
        <v>45689</v>
      </c>
      <c r="C263" s="2" t="s">
        <v>27</v>
      </c>
      <c r="D263" s="2" t="s">
        <v>18</v>
      </c>
      <c r="E263" s="2">
        <v>43288.2</v>
      </c>
      <c r="F263" s="2">
        <v>4783</v>
      </c>
      <c r="G263" s="2">
        <v>0.16900000000000001</v>
      </c>
      <c r="H263" s="2">
        <v>13</v>
      </c>
      <c r="I263" s="2">
        <v>87.3</v>
      </c>
      <c r="J263" s="2"/>
      <c r="K263" s="2">
        <v>0</v>
      </c>
      <c r="L263" s="2">
        <v>4.2</v>
      </c>
      <c r="M263" s="2">
        <v>605751.32999999996</v>
      </c>
      <c r="N263" s="2">
        <v>60685.53</v>
      </c>
      <c r="O263">
        <f t="shared" si="24"/>
        <v>0</v>
      </c>
      <c r="P263">
        <f t="shared" si="25"/>
        <v>0</v>
      </c>
      <c r="Q263">
        <f t="shared" si="26"/>
        <v>1</v>
      </c>
      <c r="R263">
        <f t="shared" si="27"/>
        <v>1</v>
      </c>
      <c r="S263">
        <f t="shared" si="28"/>
        <v>0</v>
      </c>
      <c r="T263">
        <f t="shared" si="29"/>
        <v>0</v>
      </c>
    </row>
    <row r="264" spans="1:20">
      <c r="A264" s="2" t="s">
        <v>87</v>
      </c>
      <c r="B264" s="3">
        <v>45717</v>
      </c>
      <c r="C264" s="2" t="s">
        <v>27</v>
      </c>
      <c r="D264" s="2" t="s">
        <v>18</v>
      </c>
      <c r="E264" s="2">
        <v>51450.55</v>
      </c>
      <c r="F264" s="2">
        <v>4902</v>
      </c>
      <c r="G264" s="2">
        <v>8.5999999999999993E-2</v>
      </c>
      <c r="H264" s="2">
        <v>11</v>
      </c>
      <c r="I264" s="2">
        <v>83.7</v>
      </c>
      <c r="J264" s="2">
        <v>6.92</v>
      </c>
      <c r="K264" s="2">
        <v>1</v>
      </c>
      <c r="L264" s="2">
        <v>4.2</v>
      </c>
      <c r="M264" s="2">
        <v>677640.65</v>
      </c>
      <c r="N264" s="2">
        <v>111610.89</v>
      </c>
      <c r="O264">
        <f t="shared" si="24"/>
        <v>0</v>
      </c>
      <c r="P264">
        <f t="shared" si="25"/>
        <v>0</v>
      </c>
      <c r="Q264">
        <f t="shared" si="26"/>
        <v>1</v>
      </c>
      <c r="R264">
        <f t="shared" si="27"/>
        <v>1</v>
      </c>
      <c r="S264">
        <f t="shared" si="28"/>
        <v>0</v>
      </c>
      <c r="T264">
        <f t="shared" si="29"/>
        <v>0</v>
      </c>
    </row>
    <row r="265" spans="1:20">
      <c r="A265" s="2" t="s">
        <v>87</v>
      </c>
      <c r="B265" s="3">
        <v>45748</v>
      </c>
      <c r="C265" s="2" t="s">
        <v>27</v>
      </c>
      <c r="D265" s="2" t="s">
        <v>18</v>
      </c>
      <c r="E265" s="2">
        <v>58688.26</v>
      </c>
      <c r="F265" s="2">
        <v>4022</v>
      </c>
      <c r="G265" s="2">
        <v>0.217</v>
      </c>
      <c r="H265" s="2">
        <v>12</v>
      </c>
      <c r="I265" s="2">
        <v>93.8</v>
      </c>
      <c r="J265" s="2">
        <v>11.78</v>
      </c>
      <c r="K265" s="2">
        <v>0</v>
      </c>
      <c r="L265" s="2">
        <v>3.7</v>
      </c>
      <c r="M265" s="2">
        <v>636613.23</v>
      </c>
      <c r="N265" s="2">
        <v>78908.350000000006</v>
      </c>
      <c r="O265">
        <f t="shared" si="24"/>
        <v>0</v>
      </c>
      <c r="P265">
        <f t="shared" si="25"/>
        <v>0</v>
      </c>
      <c r="Q265">
        <f t="shared" si="26"/>
        <v>1</v>
      </c>
      <c r="R265">
        <f t="shared" si="27"/>
        <v>1</v>
      </c>
      <c r="S265">
        <f t="shared" si="28"/>
        <v>0</v>
      </c>
      <c r="T265">
        <f t="shared" si="29"/>
        <v>0</v>
      </c>
    </row>
    <row r="266" spans="1:20">
      <c r="A266" s="2" t="s">
        <v>88</v>
      </c>
      <c r="B266" s="3">
        <v>45658</v>
      </c>
      <c r="C266" s="2" t="s">
        <v>15</v>
      </c>
      <c r="D266" s="2" t="s">
        <v>18</v>
      </c>
      <c r="E266" s="2">
        <v>58981.91</v>
      </c>
      <c r="F266" s="2">
        <v>7324</v>
      </c>
      <c r="G266" s="2">
        <v>9.4E-2</v>
      </c>
      <c r="H266" s="2">
        <v>15</v>
      </c>
      <c r="I266" s="2">
        <v>95.8</v>
      </c>
      <c r="J266" s="2">
        <v>0.5</v>
      </c>
      <c r="K266" s="2">
        <v>0</v>
      </c>
      <c r="L266" s="2">
        <v>3.5</v>
      </c>
      <c r="M266" s="2">
        <v>708985.19</v>
      </c>
      <c r="N266" s="2">
        <v>125368.16</v>
      </c>
      <c r="O266">
        <f t="shared" si="24"/>
        <v>0</v>
      </c>
      <c r="P266">
        <f t="shared" si="25"/>
        <v>0</v>
      </c>
      <c r="Q266">
        <f t="shared" si="26"/>
        <v>0</v>
      </c>
      <c r="R266">
        <f t="shared" si="27"/>
        <v>1</v>
      </c>
      <c r="S266">
        <f t="shared" si="28"/>
        <v>0</v>
      </c>
      <c r="T266">
        <f t="shared" si="29"/>
        <v>0</v>
      </c>
    </row>
    <row r="267" spans="1:20">
      <c r="A267" s="2" t="s">
        <v>88</v>
      </c>
      <c r="B267" s="3">
        <v>45689</v>
      </c>
      <c r="C267" s="2" t="s">
        <v>15</v>
      </c>
      <c r="D267" s="2" t="s">
        <v>18</v>
      </c>
      <c r="E267" s="2">
        <v>73454.539999999994</v>
      </c>
      <c r="F267" s="2">
        <v>8129</v>
      </c>
      <c r="G267" s="2">
        <v>0.21099999999999999</v>
      </c>
      <c r="H267" s="2">
        <v>20</v>
      </c>
      <c r="I267" s="2">
        <v>85.2</v>
      </c>
      <c r="J267" s="2">
        <v>0.88</v>
      </c>
      <c r="K267" s="2">
        <v>0</v>
      </c>
      <c r="L267" s="2">
        <v>3.7</v>
      </c>
      <c r="M267" s="2">
        <v>767792.94</v>
      </c>
      <c r="N267" s="2">
        <v>96235.77</v>
      </c>
      <c r="O267">
        <f t="shared" si="24"/>
        <v>0</v>
      </c>
      <c r="P267">
        <f t="shared" si="25"/>
        <v>0</v>
      </c>
      <c r="Q267">
        <f t="shared" si="26"/>
        <v>0</v>
      </c>
      <c r="R267">
        <f t="shared" si="27"/>
        <v>1</v>
      </c>
      <c r="S267">
        <f t="shared" si="28"/>
        <v>0</v>
      </c>
      <c r="T267">
        <f t="shared" si="29"/>
        <v>0</v>
      </c>
    </row>
    <row r="268" spans="1:20">
      <c r="A268" s="2" t="s">
        <v>88</v>
      </c>
      <c r="B268" s="3">
        <v>45717</v>
      </c>
      <c r="C268" s="2" t="s">
        <v>15</v>
      </c>
      <c r="D268" s="2" t="s">
        <v>18</v>
      </c>
      <c r="E268" s="2">
        <v>56602.39</v>
      </c>
      <c r="F268" s="2">
        <v>7969</v>
      </c>
      <c r="G268" s="2">
        <v>0.17</v>
      </c>
      <c r="H268" s="2">
        <v>21</v>
      </c>
      <c r="I268" s="2">
        <v>88.3</v>
      </c>
      <c r="J268" s="2">
        <v>2.25</v>
      </c>
      <c r="K268" s="2">
        <v>0</v>
      </c>
      <c r="L268" s="2">
        <v>3.7</v>
      </c>
      <c r="M268" s="2">
        <v>745580.51</v>
      </c>
      <c r="N268" s="2">
        <v>116273.68</v>
      </c>
      <c r="O268">
        <f t="shared" si="24"/>
        <v>0</v>
      </c>
      <c r="P268">
        <f t="shared" si="25"/>
        <v>0</v>
      </c>
      <c r="Q268">
        <f t="shared" si="26"/>
        <v>0</v>
      </c>
      <c r="R268">
        <f t="shared" si="27"/>
        <v>1</v>
      </c>
      <c r="S268">
        <f t="shared" si="28"/>
        <v>0</v>
      </c>
      <c r="T268">
        <f t="shared" si="29"/>
        <v>0</v>
      </c>
    </row>
    <row r="269" spans="1:20">
      <c r="A269" s="2" t="s">
        <v>88</v>
      </c>
      <c r="B269" s="3">
        <v>45748</v>
      </c>
      <c r="C269" s="2" t="s">
        <v>15</v>
      </c>
      <c r="D269" s="2" t="s">
        <v>18</v>
      </c>
      <c r="E269" s="2">
        <v>67722.289999999994</v>
      </c>
      <c r="F269" s="2">
        <v>7240</v>
      </c>
      <c r="G269" s="2">
        <v>2.5999999999999999E-2</v>
      </c>
      <c r="H269" s="2">
        <v>15</v>
      </c>
      <c r="I269" s="2">
        <v>92.9</v>
      </c>
      <c r="J269" s="2">
        <v>0.28999999999999998</v>
      </c>
      <c r="K269" s="2">
        <v>0</v>
      </c>
      <c r="L269" s="2">
        <v>3.5</v>
      </c>
      <c r="M269" s="2">
        <v>762328.31</v>
      </c>
      <c r="N269" s="2">
        <v>159158.19</v>
      </c>
      <c r="O269">
        <f t="shared" si="24"/>
        <v>0</v>
      </c>
      <c r="P269">
        <f t="shared" si="25"/>
        <v>0</v>
      </c>
      <c r="Q269">
        <f t="shared" si="26"/>
        <v>0</v>
      </c>
      <c r="R269">
        <f t="shared" si="27"/>
        <v>1</v>
      </c>
      <c r="S269">
        <f t="shared" si="28"/>
        <v>0</v>
      </c>
      <c r="T269">
        <f t="shared" si="29"/>
        <v>0</v>
      </c>
    </row>
    <row r="270" spans="1:20">
      <c r="A270" s="2" t="s">
        <v>89</v>
      </c>
      <c r="B270" s="3">
        <v>45658</v>
      </c>
      <c r="C270" s="2" t="s">
        <v>15</v>
      </c>
      <c r="D270" s="2" t="s">
        <v>28</v>
      </c>
      <c r="E270" s="2">
        <v>48752.92</v>
      </c>
      <c r="F270" s="2">
        <v>8052</v>
      </c>
      <c r="G270" s="2">
        <v>0.106</v>
      </c>
      <c r="H270" s="2">
        <v>16</v>
      </c>
      <c r="I270" s="2">
        <v>94.9</v>
      </c>
      <c r="J270" s="2">
        <v>0.65</v>
      </c>
      <c r="K270" s="2">
        <v>0</v>
      </c>
      <c r="L270" s="2">
        <v>3.6</v>
      </c>
      <c r="M270" s="2">
        <v>660633.99</v>
      </c>
      <c r="N270" s="2">
        <v>118768.66</v>
      </c>
      <c r="O270">
        <f t="shared" si="24"/>
        <v>0</v>
      </c>
      <c r="P270">
        <f t="shared" si="25"/>
        <v>0</v>
      </c>
      <c r="Q270">
        <f t="shared" si="26"/>
        <v>0</v>
      </c>
      <c r="R270">
        <f t="shared" si="27"/>
        <v>0</v>
      </c>
      <c r="S270">
        <f t="shared" si="28"/>
        <v>0</v>
      </c>
      <c r="T270">
        <f t="shared" si="29"/>
        <v>1</v>
      </c>
    </row>
    <row r="271" spans="1:20">
      <c r="A271" s="2" t="s">
        <v>89</v>
      </c>
      <c r="B271" s="3">
        <v>45689</v>
      </c>
      <c r="C271" s="2" t="s">
        <v>15</v>
      </c>
      <c r="D271" s="2" t="s">
        <v>28</v>
      </c>
      <c r="E271" s="2">
        <v>23914.97</v>
      </c>
      <c r="F271" s="2">
        <v>8018</v>
      </c>
      <c r="G271" s="2">
        <v>0.13900000000000001</v>
      </c>
      <c r="H271" s="2">
        <v>20</v>
      </c>
      <c r="I271" s="2">
        <v>89</v>
      </c>
      <c r="J271" s="2">
        <v>0.2</v>
      </c>
      <c r="K271" s="2">
        <v>0</v>
      </c>
      <c r="L271" s="2">
        <v>3.5</v>
      </c>
      <c r="M271" s="2">
        <v>739374.56</v>
      </c>
      <c r="N271" s="2">
        <v>121032.29</v>
      </c>
      <c r="O271">
        <f t="shared" si="24"/>
        <v>0</v>
      </c>
      <c r="P271">
        <f t="shared" si="25"/>
        <v>0</v>
      </c>
      <c r="Q271">
        <f t="shared" si="26"/>
        <v>0</v>
      </c>
      <c r="R271">
        <f t="shared" si="27"/>
        <v>0</v>
      </c>
      <c r="S271">
        <f t="shared" si="28"/>
        <v>0</v>
      </c>
      <c r="T271">
        <f t="shared" si="29"/>
        <v>1</v>
      </c>
    </row>
    <row r="272" spans="1:20">
      <c r="A272" s="2" t="s">
        <v>89</v>
      </c>
      <c r="B272" s="3">
        <v>45717</v>
      </c>
      <c r="C272" s="2" t="s">
        <v>15</v>
      </c>
      <c r="D272" s="2" t="s">
        <v>28</v>
      </c>
      <c r="E272" s="2">
        <v>61995.3</v>
      </c>
      <c r="F272" s="2">
        <v>10192</v>
      </c>
      <c r="G272" s="2">
        <v>0.19800000000000001</v>
      </c>
      <c r="H272" s="2">
        <v>21</v>
      </c>
      <c r="I272" s="2">
        <v>87.6</v>
      </c>
      <c r="J272" s="2">
        <v>3.63</v>
      </c>
      <c r="K272" s="2">
        <v>1</v>
      </c>
      <c r="L272" s="2">
        <v>3.8</v>
      </c>
      <c r="M272" s="2">
        <v>799756.46</v>
      </c>
      <c r="N272" s="2">
        <v>105052.93</v>
      </c>
      <c r="O272">
        <f t="shared" si="24"/>
        <v>0</v>
      </c>
      <c r="P272">
        <f t="shared" si="25"/>
        <v>0</v>
      </c>
      <c r="Q272">
        <f t="shared" si="26"/>
        <v>0</v>
      </c>
      <c r="R272">
        <f t="shared" si="27"/>
        <v>0</v>
      </c>
      <c r="S272">
        <f t="shared" si="28"/>
        <v>0</v>
      </c>
      <c r="T272">
        <f t="shared" si="29"/>
        <v>1</v>
      </c>
    </row>
    <row r="273" spans="1:20">
      <c r="A273" s="2" t="s">
        <v>89</v>
      </c>
      <c r="B273" s="3">
        <v>45748</v>
      </c>
      <c r="C273" s="2" t="s">
        <v>15</v>
      </c>
      <c r="D273" s="2" t="s">
        <v>28</v>
      </c>
      <c r="E273" s="2">
        <v>29344.93</v>
      </c>
      <c r="F273" s="2">
        <v>7446</v>
      </c>
      <c r="G273" s="2">
        <v>0.111</v>
      </c>
      <c r="H273" s="2">
        <v>15</v>
      </c>
      <c r="I273" s="2">
        <v>86.2</v>
      </c>
      <c r="J273" s="2">
        <v>0.2</v>
      </c>
      <c r="K273" s="2">
        <v>0</v>
      </c>
      <c r="L273" s="2">
        <v>3.2</v>
      </c>
      <c r="M273" s="2">
        <v>593343</v>
      </c>
      <c r="N273" s="2">
        <v>82832.240000000005</v>
      </c>
      <c r="O273">
        <f t="shared" si="24"/>
        <v>0</v>
      </c>
      <c r="P273">
        <f t="shared" si="25"/>
        <v>0</v>
      </c>
      <c r="Q273">
        <f t="shared" si="26"/>
        <v>0</v>
      </c>
      <c r="R273">
        <f t="shared" si="27"/>
        <v>0</v>
      </c>
      <c r="S273">
        <f t="shared" si="28"/>
        <v>0</v>
      </c>
      <c r="T273">
        <f t="shared" si="29"/>
        <v>1</v>
      </c>
    </row>
    <row r="274" spans="1:20">
      <c r="A274" s="2" t="s">
        <v>90</v>
      </c>
      <c r="B274" s="3">
        <v>45658</v>
      </c>
      <c r="C274" s="2" t="s">
        <v>27</v>
      </c>
      <c r="D274" s="2" t="s">
        <v>18</v>
      </c>
      <c r="E274" s="2">
        <v>50532.17</v>
      </c>
      <c r="F274" s="2">
        <v>5689</v>
      </c>
      <c r="G274" s="2">
        <v>5.1999999999999998E-2</v>
      </c>
      <c r="H274" s="2">
        <v>17</v>
      </c>
      <c r="I274" s="2">
        <v>85.6</v>
      </c>
      <c r="J274" s="2">
        <v>6.23</v>
      </c>
      <c r="K274" s="2">
        <v>0</v>
      </c>
      <c r="L274" s="2">
        <v>3.3</v>
      </c>
      <c r="M274" s="2">
        <v>645039.97</v>
      </c>
      <c r="N274" s="2">
        <v>83093.33</v>
      </c>
      <c r="O274">
        <f t="shared" si="24"/>
        <v>0</v>
      </c>
      <c r="P274">
        <f t="shared" si="25"/>
        <v>0</v>
      </c>
      <c r="Q274">
        <f t="shared" si="26"/>
        <v>1</v>
      </c>
      <c r="R274">
        <f t="shared" si="27"/>
        <v>1</v>
      </c>
      <c r="S274">
        <f t="shared" si="28"/>
        <v>0</v>
      </c>
      <c r="T274">
        <f t="shared" si="29"/>
        <v>0</v>
      </c>
    </row>
    <row r="275" spans="1:20">
      <c r="A275" s="2" t="s">
        <v>90</v>
      </c>
      <c r="B275" s="3">
        <v>45689</v>
      </c>
      <c r="C275" s="2" t="s">
        <v>27</v>
      </c>
      <c r="D275" s="2" t="s">
        <v>18</v>
      </c>
      <c r="E275" s="2">
        <v>17562.57</v>
      </c>
      <c r="F275" s="2">
        <v>3326</v>
      </c>
      <c r="G275" s="2">
        <v>0.153</v>
      </c>
      <c r="H275" s="2">
        <v>14</v>
      </c>
      <c r="I275" s="2">
        <v>88.1</v>
      </c>
      <c r="J275" s="2">
        <v>1.04</v>
      </c>
      <c r="K275" s="2">
        <v>0</v>
      </c>
      <c r="L275" s="2">
        <v>3.1</v>
      </c>
      <c r="M275" s="2">
        <v>561597.32999999996</v>
      </c>
      <c r="N275" s="2">
        <v>75072.75</v>
      </c>
      <c r="O275">
        <f t="shared" si="24"/>
        <v>0</v>
      </c>
      <c r="P275">
        <f t="shared" si="25"/>
        <v>0</v>
      </c>
      <c r="Q275">
        <f t="shared" si="26"/>
        <v>1</v>
      </c>
      <c r="R275">
        <f t="shared" si="27"/>
        <v>1</v>
      </c>
      <c r="S275">
        <f t="shared" si="28"/>
        <v>0</v>
      </c>
      <c r="T275">
        <f t="shared" si="29"/>
        <v>0</v>
      </c>
    </row>
    <row r="276" spans="1:20">
      <c r="A276" s="2" t="s">
        <v>90</v>
      </c>
      <c r="B276" s="3">
        <v>45717</v>
      </c>
      <c r="C276" s="2" t="s">
        <v>27</v>
      </c>
      <c r="D276" s="2" t="s">
        <v>18</v>
      </c>
      <c r="E276" s="2">
        <v>47648.71</v>
      </c>
      <c r="F276" s="2">
        <v>5767</v>
      </c>
      <c r="G276" s="2">
        <v>0.14099999999999999</v>
      </c>
      <c r="H276" s="2">
        <v>17</v>
      </c>
      <c r="I276" s="2">
        <v>89.8</v>
      </c>
      <c r="J276" s="2">
        <v>1.76</v>
      </c>
      <c r="K276" s="2">
        <v>0</v>
      </c>
      <c r="L276" s="2">
        <v>3.1</v>
      </c>
      <c r="M276" s="2">
        <v>635837.74</v>
      </c>
      <c r="N276" s="2">
        <v>114740.64</v>
      </c>
      <c r="O276">
        <f t="shared" si="24"/>
        <v>0</v>
      </c>
      <c r="P276">
        <f t="shared" si="25"/>
        <v>0</v>
      </c>
      <c r="Q276">
        <f t="shared" si="26"/>
        <v>1</v>
      </c>
      <c r="R276">
        <f t="shared" si="27"/>
        <v>1</v>
      </c>
      <c r="S276">
        <f t="shared" si="28"/>
        <v>0</v>
      </c>
      <c r="T276">
        <f t="shared" si="29"/>
        <v>0</v>
      </c>
    </row>
    <row r="277" spans="1:20">
      <c r="A277" s="2" t="s">
        <v>90</v>
      </c>
      <c r="B277" s="3">
        <v>45748</v>
      </c>
      <c r="C277" s="2" t="s">
        <v>27</v>
      </c>
      <c r="D277" s="2" t="s">
        <v>18</v>
      </c>
      <c r="E277" s="2">
        <v>38297.58</v>
      </c>
      <c r="F277" s="2">
        <v>5893</v>
      </c>
      <c r="G277" s="2">
        <v>0.247</v>
      </c>
      <c r="H277" s="2">
        <v>18</v>
      </c>
      <c r="I277" s="2">
        <v>77.599999999999994</v>
      </c>
      <c r="J277" s="2">
        <v>2.86</v>
      </c>
      <c r="K277" s="2">
        <v>0</v>
      </c>
      <c r="L277" s="2">
        <v>3</v>
      </c>
      <c r="M277" s="2">
        <v>686737.87</v>
      </c>
      <c r="N277" s="2">
        <v>83839.67</v>
      </c>
      <c r="O277">
        <f t="shared" si="24"/>
        <v>0</v>
      </c>
      <c r="P277">
        <f t="shared" si="25"/>
        <v>0</v>
      </c>
      <c r="Q277">
        <f t="shared" si="26"/>
        <v>1</v>
      </c>
      <c r="R277">
        <f t="shared" si="27"/>
        <v>1</v>
      </c>
      <c r="S277">
        <f t="shared" si="28"/>
        <v>0</v>
      </c>
      <c r="T277">
        <f t="shared" si="29"/>
        <v>0</v>
      </c>
    </row>
    <row r="278" spans="1:20">
      <c r="A278" s="2" t="s">
        <v>91</v>
      </c>
      <c r="B278" s="3">
        <v>45658</v>
      </c>
      <c r="C278" s="2" t="s">
        <v>24</v>
      </c>
      <c r="D278" s="2" t="s">
        <v>16</v>
      </c>
      <c r="E278" s="2">
        <v>61784.11</v>
      </c>
      <c r="F278" s="2">
        <v>8564</v>
      </c>
      <c r="G278" s="2">
        <v>0.13</v>
      </c>
      <c r="H278" s="2">
        <v>17</v>
      </c>
      <c r="I278" s="2">
        <v>87.4</v>
      </c>
      <c r="J278" s="2">
        <v>18.14</v>
      </c>
      <c r="K278" s="2">
        <v>1</v>
      </c>
      <c r="L278" s="2">
        <v>3.4</v>
      </c>
      <c r="M278" s="2">
        <v>673076.34</v>
      </c>
      <c r="N278" s="2">
        <v>93899.76</v>
      </c>
      <c r="O278">
        <f t="shared" si="24"/>
        <v>0</v>
      </c>
      <c r="P278">
        <f t="shared" si="25"/>
        <v>1</v>
      </c>
      <c r="Q278">
        <f t="shared" si="26"/>
        <v>0</v>
      </c>
      <c r="R278">
        <f t="shared" si="27"/>
        <v>0</v>
      </c>
      <c r="S278">
        <f t="shared" si="28"/>
        <v>0</v>
      </c>
      <c r="T278">
        <f t="shared" si="29"/>
        <v>0</v>
      </c>
    </row>
    <row r="279" spans="1:20">
      <c r="A279" s="2" t="s">
        <v>91</v>
      </c>
      <c r="B279" s="3">
        <v>45689</v>
      </c>
      <c r="C279" s="2" t="s">
        <v>24</v>
      </c>
      <c r="D279" s="2" t="s">
        <v>16</v>
      </c>
      <c r="E279" s="2">
        <v>36832.33</v>
      </c>
      <c r="F279" s="2">
        <v>8001</v>
      </c>
      <c r="G279" s="2">
        <v>0</v>
      </c>
      <c r="H279" s="2">
        <v>19</v>
      </c>
      <c r="I279" s="2">
        <v>88.7</v>
      </c>
      <c r="J279" s="2">
        <v>3.39</v>
      </c>
      <c r="K279" s="2">
        <v>0</v>
      </c>
      <c r="L279" s="2">
        <v>4</v>
      </c>
      <c r="M279" s="2">
        <v>738548.42</v>
      </c>
      <c r="N279" s="2">
        <v>134282.76999999999</v>
      </c>
      <c r="O279">
        <f t="shared" si="24"/>
        <v>0</v>
      </c>
      <c r="P279">
        <f t="shared" si="25"/>
        <v>1</v>
      </c>
      <c r="Q279">
        <f t="shared" si="26"/>
        <v>0</v>
      </c>
      <c r="R279">
        <f t="shared" si="27"/>
        <v>0</v>
      </c>
      <c r="S279">
        <f t="shared" si="28"/>
        <v>0</v>
      </c>
      <c r="T279">
        <f t="shared" si="29"/>
        <v>0</v>
      </c>
    </row>
    <row r="280" spans="1:20">
      <c r="A280" s="2" t="s">
        <v>91</v>
      </c>
      <c r="B280" s="3">
        <v>45717</v>
      </c>
      <c r="C280" s="2" t="s">
        <v>24</v>
      </c>
      <c r="D280" s="2" t="s">
        <v>16</v>
      </c>
      <c r="E280" s="2">
        <v>48609.41</v>
      </c>
      <c r="F280" s="2">
        <v>9324</v>
      </c>
      <c r="G280" s="2">
        <v>0.21299999999999999</v>
      </c>
      <c r="H280" s="2">
        <v>18</v>
      </c>
      <c r="I280" s="2">
        <v>86.5</v>
      </c>
      <c r="J280" s="2">
        <v>1.44</v>
      </c>
      <c r="K280" s="2">
        <v>0</v>
      </c>
      <c r="L280" s="2">
        <v>3.9</v>
      </c>
      <c r="M280" s="2">
        <v>756619.77</v>
      </c>
      <c r="N280" s="2">
        <v>112057.69</v>
      </c>
      <c r="O280">
        <f t="shared" si="24"/>
        <v>0</v>
      </c>
      <c r="P280">
        <f t="shared" si="25"/>
        <v>1</v>
      </c>
      <c r="Q280">
        <f t="shared" si="26"/>
        <v>0</v>
      </c>
      <c r="R280">
        <f t="shared" si="27"/>
        <v>0</v>
      </c>
      <c r="S280">
        <f t="shared" si="28"/>
        <v>0</v>
      </c>
      <c r="T280">
        <f t="shared" si="29"/>
        <v>0</v>
      </c>
    </row>
    <row r="281" spans="1:20">
      <c r="A281" s="2" t="s">
        <v>91</v>
      </c>
      <c r="B281" s="3">
        <v>45748</v>
      </c>
      <c r="C281" s="2" t="s">
        <v>24</v>
      </c>
      <c r="D281" s="2" t="s">
        <v>16</v>
      </c>
      <c r="E281" s="2">
        <v>70284.06</v>
      </c>
      <c r="F281" s="2">
        <v>9109</v>
      </c>
      <c r="G281" s="2">
        <v>4.0000000000000001E-3</v>
      </c>
      <c r="H281" s="2">
        <v>23</v>
      </c>
      <c r="I281" s="2">
        <v>87</v>
      </c>
      <c r="J281" s="2">
        <v>3.65</v>
      </c>
      <c r="K281" s="2">
        <v>0</v>
      </c>
      <c r="L281" s="2">
        <v>3.7</v>
      </c>
      <c r="M281" s="2">
        <v>761122.42</v>
      </c>
      <c r="N281" s="2">
        <v>149802.04</v>
      </c>
      <c r="O281">
        <f t="shared" si="24"/>
        <v>0</v>
      </c>
      <c r="P281">
        <f t="shared" si="25"/>
        <v>1</v>
      </c>
      <c r="Q281">
        <f t="shared" si="26"/>
        <v>0</v>
      </c>
      <c r="R281">
        <f t="shared" si="27"/>
        <v>0</v>
      </c>
      <c r="S281">
        <f t="shared" si="28"/>
        <v>0</v>
      </c>
      <c r="T281">
        <f t="shared" si="29"/>
        <v>0</v>
      </c>
    </row>
    <row r="282" spans="1:20">
      <c r="A282" s="2" t="s">
        <v>92</v>
      </c>
      <c r="B282" s="3">
        <v>45658</v>
      </c>
      <c r="C282" s="2" t="s">
        <v>24</v>
      </c>
      <c r="D282" s="2" t="s">
        <v>18</v>
      </c>
      <c r="E282" s="2">
        <v>45940.39</v>
      </c>
      <c r="F282" s="2">
        <v>4022</v>
      </c>
      <c r="G282" s="2">
        <v>6.9000000000000006E-2</v>
      </c>
      <c r="H282" s="2">
        <v>10</v>
      </c>
      <c r="I282" s="2">
        <v>83</v>
      </c>
      <c r="J282" s="2">
        <v>1.23</v>
      </c>
      <c r="K282" s="2">
        <v>1</v>
      </c>
      <c r="L282" s="2">
        <v>3.8</v>
      </c>
      <c r="M282" s="2">
        <v>524899.56999999995</v>
      </c>
      <c r="N282" s="2">
        <v>63619.98</v>
      </c>
      <c r="O282">
        <f t="shared" si="24"/>
        <v>0</v>
      </c>
      <c r="P282">
        <f t="shared" si="25"/>
        <v>1</v>
      </c>
      <c r="Q282">
        <f t="shared" si="26"/>
        <v>0</v>
      </c>
      <c r="R282">
        <f t="shared" si="27"/>
        <v>1</v>
      </c>
      <c r="S282">
        <f t="shared" si="28"/>
        <v>0</v>
      </c>
      <c r="T282">
        <f t="shared" si="29"/>
        <v>0</v>
      </c>
    </row>
    <row r="283" spans="1:20">
      <c r="A283" s="2" t="s">
        <v>92</v>
      </c>
      <c r="B283" s="3">
        <v>45689</v>
      </c>
      <c r="C283" s="2" t="s">
        <v>24</v>
      </c>
      <c r="D283" s="2" t="s">
        <v>18</v>
      </c>
      <c r="E283" s="2">
        <v>34771.26</v>
      </c>
      <c r="F283" s="2">
        <v>4355</v>
      </c>
      <c r="G283" s="2">
        <v>5.0999999999999997E-2</v>
      </c>
      <c r="H283" s="2">
        <v>15</v>
      </c>
      <c r="I283" s="2">
        <v>87.9</v>
      </c>
      <c r="J283" s="2">
        <v>3.09</v>
      </c>
      <c r="K283" s="2">
        <v>0</v>
      </c>
      <c r="L283" s="2">
        <v>4</v>
      </c>
      <c r="M283" s="2">
        <v>555557.77</v>
      </c>
      <c r="N283" s="2">
        <v>86475.51</v>
      </c>
      <c r="O283">
        <f t="shared" si="24"/>
        <v>0</v>
      </c>
      <c r="P283">
        <f t="shared" si="25"/>
        <v>1</v>
      </c>
      <c r="Q283">
        <f t="shared" si="26"/>
        <v>0</v>
      </c>
      <c r="R283">
        <f t="shared" si="27"/>
        <v>1</v>
      </c>
      <c r="S283">
        <f t="shared" si="28"/>
        <v>0</v>
      </c>
      <c r="T283">
        <f t="shared" si="29"/>
        <v>0</v>
      </c>
    </row>
    <row r="284" spans="1:20">
      <c r="A284" s="2" t="s">
        <v>92</v>
      </c>
      <c r="B284" s="3">
        <v>45717</v>
      </c>
      <c r="C284" s="2" t="s">
        <v>24</v>
      </c>
      <c r="D284" s="2" t="s">
        <v>18</v>
      </c>
      <c r="E284" s="2">
        <v>66104.19</v>
      </c>
      <c r="F284" s="2">
        <v>5745</v>
      </c>
      <c r="G284" s="2">
        <v>7.0000000000000007E-2</v>
      </c>
      <c r="H284" s="2">
        <v>17</v>
      </c>
      <c r="I284" s="2">
        <v>95.8</v>
      </c>
      <c r="J284" s="2">
        <v>3.15</v>
      </c>
      <c r="K284" s="2">
        <v>0</v>
      </c>
      <c r="L284" s="2">
        <v>4</v>
      </c>
      <c r="M284" s="2">
        <v>714083.68</v>
      </c>
      <c r="N284" s="2">
        <v>127231.74</v>
      </c>
      <c r="O284">
        <f t="shared" si="24"/>
        <v>0</v>
      </c>
      <c r="P284">
        <f t="shared" si="25"/>
        <v>1</v>
      </c>
      <c r="Q284">
        <f t="shared" si="26"/>
        <v>0</v>
      </c>
      <c r="R284">
        <f t="shared" si="27"/>
        <v>1</v>
      </c>
      <c r="S284">
        <f t="shared" si="28"/>
        <v>0</v>
      </c>
      <c r="T284">
        <f t="shared" si="29"/>
        <v>0</v>
      </c>
    </row>
    <row r="285" spans="1:20">
      <c r="A285" s="2" t="s">
        <v>92</v>
      </c>
      <c r="B285" s="3">
        <v>45748</v>
      </c>
      <c r="C285" s="2" t="s">
        <v>24</v>
      </c>
      <c r="D285" s="2" t="s">
        <v>18</v>
      </c>
      <c r="E285" s="2">
        <v>18599.21</v>
      </c>
      <c r="F285" s="2">
        <v>3027</v>
      </c>
      <c r="G285" s="2">
        <v>0.122</v>
      </c>
      <c r="H285" s="2">
        <v>11</v>
      </c>
      <c r="I285" s="2">
        <v>80.900000000000006</v>
      </c>
      <c r="J285" s="2">
        <v>6.44</v>
      </c>
      <c r="K285" s="2">
        <v>0</v>
      </c>
      <c r="L285" s="2">
        <v>4.2</v>
      </c>
      <c r="M285" s="2">
        <v>497439.82</v>
      </c>
      <c r="N285" s="2">
        <v>93372.75</v>
      </c>
      <c r="O285">
        <f t="shared" si="24"/>
        <v>0</v>
      </c>
      <c r="P285">
        <f t="shared" si="25"/>
        <v>1</v>
      </c>
      <c r="Q285">
        <f t="shared" si="26"/>
        <v>0</v>
      </c>
      <c r="R285">
        <f t="shared" si="27"/>
        <v>1</v>
      </c>
      <c r="S285">
        <f t="shared" si="28"/>
        <v>0</v>
      </c>
      <c r="T285">
        <f t="shared" si="29"/>
        <v>0</v>
      </c>
    </row>
    <row r="286" spans="1:20">
      <c r="A286" s="2" t="s">
        <v>93</v>
      </c>
      <c r="B286" s="3">
        <v>45658</v>
      </c>
      <c r="C286" s="2" t="s">
        <v>27</v>
      </c>
      <c r="D286" s="2" t="s">
        <v>16</v>
      </c>
      <c r="E286" s="2">
        <v>60183.06</v>
      </c>
      <c r="F286" s="2">
        <v>5562</v>
      </c>
      <c r="G286" s="2">
        <v>8.9999999999999993E-3</v>
      </c>
      <c r="H286" s="2">
        <v>13</v>
      </c>
      <c r="I286" s="2">
        <v>86.3</v>
      </c>
      <c r="J286" s="2">
        <v>0.2</v>
      </c>
      <c r="K286" s="2">
        <v>1</v>
      </c>
      <c r="L286" s="2">
        <v>4.5</v>
      </c>
      <c r="M286" s="2">
        <v>636775.66</v>
      </c>
      <c r="N286" s="2">
        <v>122636.86</v>
      </c>
      <c r="O286">
        <f t="shared" si="24"/>
        <v>0</v>
      </c>
      <c r="P286">
        <f t="shared" si="25"/>
        <v>0</v>
      </c>
      <c r="Q286">
        <f t="shared" si="26"/>
        <v>1</v>
      </c>
      <c r="R286">
        <f t="shared" si="27"/>
        <v>0</v>
      </c>
      <c r="S286">
        <f t="shared" si="28"/>
        <v>0</v>
      </c>
      <c r="T286">
        <f t="shared" si="29"/>
        <v>0</v>
      </c>
    </row>
    <row r="287" spans="1:20">
      <c r="A287" s="2" t="s">
        <v>93</v>
      </c>
      <c r="B287" s="3">
        <v>45689</v>
      </c>
      <c r="C287" s="2" t="s">
        <v>27</v>
      </c>
      <c r="D287" s="2" t="s">
        <v>16</v>
      </c>
      <c r="E287" s="2">
        <v>74539.14</v>
      </c>
      <c r="F287" s="2">
        <v>4487</v>
      </c>
      <c r="G287" s="2">
        <v>0.14000000000000001</v>
      </c>
      <c r="H287" s="2">
        <v>10</v>
      </c>
      <c r="I287" s="2">
        <v>90.4</v>
      </c>
      <c r="J287" s="2">
        <v>0.59</v>
      </c>
      <c r="K287" s="2">
        <v>0</v>
      </c>
      <c r="L287" s="2">
        <v>4.5</v>
      </c>
      <c r="M287" s="2">
        <v>633009.53</v>
      </c>
      <c r="N287" s="2">
        <v>123782.67</v>
      </c>
      <c r="O287">
        <f t="shared" si="24"/>
        <v>0</v>
      </c>
      <c r="P287">
        <f t="shared" si="25"/>
        <v>0</v>
      </c>
      <c r="Q287">
        <f t="shared" si="26"/>
        <v>1</v>
      </c>
      <c r="R287">
        <f t="shared" si="27"/>
        <v>0</v>
      </c>
      <c r="S287">
        <f t="shared" si="28"/>
        <v>0</v>
      </c>
      <c r="T287">
        <f t="shared" si="29"/>
        <v>0</v>
      </c>
    </row>
    <row r="288" spans="1:20">
      <c r="A288" s="2" t="s">
        <v>93</v>
      </c>
      <c r="B288" s="3">
        <v>45717</v>
      </c>
      <c r="C288" s="2" t="s">
        <v>27</v>
      </c>
      <c r="D288" s="2" t="s">
        <v>16</v>
      </c>
      <c r="E288" s="2">
        <v>55371.97</v>
      </c>
      <c r="F288" s="2">
        <v>4162</v>
      </c>
      <c r="G288" s="2">
        <v>0.183</v>
      </c>
      <c r="H288" s="2">
        <v>11</v>
      </c>
      <c r="I288" s="2">
        <v>92</v>
      </c>
      <c r="J288" s="2">
        <v>0.2</v>
      </c>
      <c r="K288" s="2">
        <v>1</v>
      </c>
      <c r="L288" s="2">
        <v>4.2</v>
      </c>
      <c r="M288" s="2">
        <v>609949</v>
      </c>
      <c r="N288" s="2">
        <v>126789.25</v>
      </c>
      <c r="O288">
        <f t="shared" si="24"/>
        <v>0</v>
      </c>
      <c r="P288">
        <f t="shared" si="25"/>
        <v>0</v>
      </c>
      <c r="Q288">
        <f t="shared" si="26"/>
        <v>1</v>
      </c>
      <c r="R288">
        <f t="shared" si="27"/>
        <v>0</v>
      </c>
      <c r="S288">
        <f t="shared" si="28"/>
        <v>0</v>
      </c>
      <c r="T288">
        <f t="shared" si="29"/>
        <v>0</v>
      </c>
    </row>
    <row r="289" spans="1:20">
      <c r="A289" s="2" t="s">
        <v>93</v>
      </c>
      <c r="B289" s="3">
        <v>45748</v>
      </c>
      <c r="C289" s="2" t="s">
        <v>27</v>
      </c>
      <c r="D289" s="2" t="s">
        <v>16</v>
      </c>
      <c r="E289" s="2">
        <v>40928.69</v>
      </c>
      <c r="F289" s="2">
        <v>4094</v>
      </c>
      <c r="G289" s="2">
        <v>0.17399999999999999</v>
      </c>
      <c r="H289" s="2">
        <v>13</v>
      </c>
      <c r="I289" s="2">
        <v>82.4</v>
      </c>
      <c r="J289" s="2">
        <v>1.36</v>
      </c>
      <c r="K289" s="2">
        <v>0</v>
      </c>
      <c r="L289" s="2">
        <v>4.8</v>
      </c>
      <c r="M289" s="2">
        <v>548103.69999999995</v>
      </c>
      <c r="N289" s="2">
        <v>99905.52</v>
      </c>
      <c r="O289">
        <f t="shared" si="24"/>
        <v>0</v>
      </c>
      <c r="P289">
        <f t="shared" si="25"/>
        <v>0</v>
      </c>
      <c r="Q289">
        <f t="shared" si="26"/>
        <v>1</v>
      </c>
      <c r="R289">
        <f t="shared" si="27"/>
        <v>0</v>
      </c>
      <c r="S289">
        <f t="shared" si="28"/>
        <v>0</v>
      </c>
      <c r="T289">
        <f t="shared" si="29"/>
        <v>0</v>
      </c>
    </row>
    <row r="290" spans="1:20">
      <c r="A290" s="2" t="s">
        <v>94</v>
      </c>
      <c r="B290" s="3">
        <v>45658</v>
      </c>
      <c r="C290" s="2" t="s">
        <v>15</v>
      </c>
      <c r="D290" s="2" t="s">
        <v>16</v>
      </c>
      <c r="E290" s="2">
        <v>70012.41</v>
      </c>
      <c r="F290" s="2">
        <v>8484</v>
      </c>
      <c r="G290" s="2">
        <v>0.27300000000000002</v>
      </c>
      <c r="H290" s="2">
        <v>23</v>
      </c>
      <c r="I290" s="2">
        <v>72.900000000000006</v>
      </c>
      <c r="J290" s="2">
        <v>3.34</v>
      </c>
      <c r="K290" s="2">
        <v>0</v>
      </c>
      <c r="L290" s="2">
        <v>3.7</v>
      </c>
      <c r="M290" s="2">
        <v>729424.42</v>
      </c>
      <c r="N290" s="2">
        <v>75592.28</v>
      </c>
      <c r="O290">
        <f t="shared" si="24"/>
        <v>0</v>
      </c>
      <c r="P290">
        <f t="shared" si="25"/>
        <v>0</v>
      </c>
      <c r="Q290">
        <f t="shared" si="26"/>
        <v>0</v>
      </c>
      <c r="R290">
        <f t="shared" si="27"/>
        <v>0</v>
      </c>
      <c r="S290">
        <f t="shared" si="28"/>
        <v>0</v>
      </c>
      <c r="T290">
        <f t="shared" si="29"/>
        <v>0</v>
      </c>
    </row>
    <row r="291" spans="1:20">
      <c r="A291" s="2" t="s">
        <v>94</v>
      </c>
      <c r="B291" s="3">
        <v>45689</v>
      </c>
      <c r="C291" s="2" t="s">
        <v>15</v>
      </c>
      <c r="D291" s="2" t="s">
        <v>16</v>
      </c>
      <c r="E291" s="2">
        <v>68909.259999999995</v>
      </c>
      <c r="F291" s="2">
        <v>7794</v>
      </c>
      <c r="G291" s="2">
        <v>0.28399999999999997</v>
      </c>
      <c r="H291" s="2">
        <v>22</v>
      </c>
      <c r="I291" s="2">
        <v>89</v>
      </c>
      <c r="J291" s="2">
        <v>0.33</v>
      </c>
      <c r="K291" s="2">
        <v>0</v>
      </c>
      <c r="L291" s="2">
        <v>4</v>
      </c>
      <c r="M291" s="2">
        <v>696261.49</v>
      </c>
      <c r="N291" s="2">
        <v>72455.350000000006</v>
      </c>
      <c r="O291">
        <f t="shared" si="24"/>
        <v>0</v>
      </c>
      <c r="P291">
        <f t="shared" si="25"/>
        <v>0</v>
      </c>
      <c r="Q291">
        <f t="shared" si="26"/>
        <v>0</v>
      </c>
      <c r="R291">
        <f t="shared" si="27"/>
        <v>0</v>
      </c>
      <c r="S291">
        <f t="shared" si="28"/>
        <v>0</v>
      </c>
      <c r="T291">
        <f t="shared" si="29"/>
        <v>0</v>
      </c>
    </row>
    <row r="292" spans="1:20">
      <c r="A292" s="2" t="s">
        <v>94</v>
      </c>
      <c r="B292" s="3">
        <v>45717</v>
      </c>
      <c r="C292" s="2" t="s">
        <v>15</v>
      </c>
      <c r="D292" s="2" t="s">
        <v>16</v>
      </c>
      <c r="E292" s="2">
        <v>56737.3</v>
      </c>
      <c r="F292" s="2">
        <v>8300</v>
      </c>
      <c r="G292" s="2">
        <v>3.2000000000000001E-2</v>
      </c>
      <c r="H292" s="2">
        <v>21</v>
      </c>
      <c r="I292" s="2">
        <v>83.2</v>
      </c>
      <c r="J292" s="2">
        <v>3.44</v>
      </c>
      <c r="K292" s="2">
        <v>1</v>
      </c>
      <c r="L292" s="2">
        <v>4.3</v>
      </c>
      <c r="M292" s="2">
        <v>813316.71</v>
      </c>
      <c r="N292" s="2">
        <v>110077.42</v>
      </c>
      <c r="O292">
        <f t="shared" si="24"/>
        <v>0</v>
      </c>
      <c r="P292">
        <f t="shared" si="25"/>
        <v>0</v>
      </c>
      <c r="Q292">
        <f t="shared" si="26"/>
        <v>0</v>
      </c>
      <c r="R292">
        <f t="shared" si="27"/>
        <v>0</v>
      </c>
      <c r="S292">
        <f t="shared" si="28"/>
        <v>0</v>
      </c>
      <c r="T292">
        <f t="shared" si="29"/>
        <v>0</v>
      </c>
    </row>
    <row r="293" spans="1:20">
      <c r="A293" s="2" t="s">
        <v>94</v>
      </c>
      <c r="B293" s="3">
        <v>45748</v>
      </c>
      <c r="C293" s="2" t="s">
        <v>15</v>
      </c>
      <c r="D293" s="2" t="s">
        <v>16</v>
      </c>
      <c r="E293" s="2">
        <v>54080.91</v>
      </c>
      <c r="F293" s="2">
        <v>7083</v>
      </c>
      <c r="G293" s="2">
        <v>0</v>
      </c>
      <c r="H293" s="2">
        <v>15</v>
      </c>
      <c r="I293" s="2">
        <v>97</v>
      </c>
      <c r="J293" s="2">
        <v>5.33</v>
      </c>
      <c r="K293" s="2">
        <v>0</v>
      </c>
      <c r="L293" s="2">
        <v>4.0999999999999996</v>
      </c>
      <c r="M293" s="2">
        <v>702068.92</v>
      </c>
      <c r="N293" s="2">
        <v>111266.63</v>
      </c>
      <c r="O293">
        <f t="shared" si="24"/>
        <v>0</v>
      </c>
      <c r="P293">
        <f t="shared" si="25"/>
        <v>0</v>
      </c>
      <c r="Q293">
        <f t="shared" si="26"/>
        <v>0</v>
      </c>
      <c r="R293">
        <f t="shared" si="27"/>
        <v>0</v>
      </c>
      <c r="S293">
        <f t="shared" si="28"/>
        <v>0</v>
      </c>
      <c r="T293">
        <f t="shared" si="29"/>
        <v>0</v>
      </c>
    </row>
    <row r="294" spans="1:20">
      <c r="A294" s="2" t="s">
        <v>95</v>
      </c>
      <c r="B294" s="3">
        <v>45658</v>
      </c>
      <c r="C294" s="2" t="s">
        <v>27</v>
      </c>
      <c r="D294" s="2" t="s">
        <v>18</v>
      </c>
      <c r="E294" s="2">
        <v>51996.32</v>
      </c>
      <c r="F294" s="2">
        <v>3834</v>
      </c>
      <c r="G294" s="2">
        <v>9.6000000000000002E-2</v>
      </c>
      <c r="H294" s="2">
        <v>8</v>
      </c>
      <c r="I294" s="2">
        <v>86.7</v>
      </c>
      <c r="J294" s="2">
        <v>6.04</v>
      </c>
      <c r="K294" s="2">
        <v>0</v>
      </c>
      <c r="L294" s="2">
        <v>4.5</v>
      </c>
      <c r="M294" s="2">
        <v>546223.69999999995</v>
      </c>
      <c r="N294" s="2">
        <v>100769.17</v>
      </c>
      <c r="O294">
        <f t="shared" si="24"/>
        <v>0</v>
      </c>
      <c r="P294">
        <f t="shared" si="25"/>
        <v>0</v>
      </c>
      <c r="Q294">
        <f t="shared" si="26"/>
        <v>1</v>
      </c>
      <c r="R294">
        <f t="shared" si="27"/>
        <v>1</v>
      </c>
      <c r="S294">
        <f t="shared" si="28"/>
        <v>0</v>
      </c>
      <c r="T294">
        <f t="shared" si="29"/>
        <v>0</v>
      </c>
    </row>
    <row r="295" spans="1:20">
      <c r="A295" s="2" t="s">
        <v>95</v>
      </c>
      <c r="B295" s="3">
        <v>45689</v>
      </c>
      <c r="C295" s="2" t="s">
        <v>27</v>
      </c>
      <c r="D295" s="2" t="s">
        <v>18</v>
      </c>
      <c r="E295" s="2">
        <v>40102.879999999997</v>
      </c>
      <c r="F295" s="2">
        <v>2358</v>
      </c>
      <c r="G295" s="2">
        <v>0.11899999999999999</v>
      </c>
      <c r="H295" s="2">
        <v>9</v>
      </c>
      <c r="I295" s="2">
        <v>88.7</v>
      </c>
      <c r="J295" s="2">
        <v>1.6</v>
      </c>
      <c r="K295" s="2">
        <v>0</v>
      </c>
      <c r="L295" s="2">
        <v>4.2</v>
      </c>
      <c r="M295" s="2">
        <v>533121.26</v>
      </c>
      <c r="N295" s="2">
        <v>55063.39</v>
      </c>
      <c r="O295">
        <f t="shared" si="24"/>
        <v>0</v>
      </c>
      <c r="P295">
        <f t="shared" si="25"/>
        <v>0</v>
      </c>
      <c r="Q295">
        <f t="shared" si="26"/>
        <v>1</v>
      </c>
      <c r="R295">
        <f t="shared" si="27"/>
        <v>1</v>
      </c>
      <c r="S295">
        <f t="shared" si="28"/>
        <v>0</v>
      </c>
      <c r="T295">
        <f t="shared" si="29"/>
        <v>0</v>
      </c>
    </row>
    <row r="296" spans="1:20">
      <c r="A296" s="2" t="s">
        <v>95</v>
      </c>
      <c r="B296" s="3">
        <v>45717</v>
      </c>
      <c r="C296" s="2" t="s">
        <v>27</v>
      </c>
      <c r="D296" s="2" t="s">
        <v>18</v>
      </c>
      <c r="E296" s="2">
        <v>59825.51</v>
      </c>
      <c r="F296" s="2">
        <v>1231</v>
      </c>
      <c r="G296" s="2">
        <v>0.214</v>
      </c>
      <c r="H296" s="2">
        <v>10</v>
      </c>
      <c r="I296" s="2">
        <v>84.8</v>
      </c>
      <c r="J296" s="2">
        <v>8.9600000000000009</v>
      </c>
      <c r="K296" s="2">
        <v>0</v>
      </c>
      <c r="L296" s="2">
        <v>4.7</v>
      </c>
      <c r="M296" s="2">
        <v>498970.32</v>
      </c>
      <c r="N296" s="2">
        <v>69656.7</v>
      </c>
      <c r="O296">
        <f t="shared" si="24"/>
        <v>0</v>
      </c>
      <c r="P296">
        <f t="shared" si="25"/>
        <v>0</v>
      </c>
      <c r="Q296">
        <f t="shared" si="26"/>
        <v>1</v>
      </c>
      <c r="R296">
        <f t="shared" si="27"/>
        <v>1</v>
      </c>
      <c r="S296">
        <f t="shared" si="28"/>
        <v>0</v>
      </c>
      <c r="T296">
        <f t="shared" si="29"/>
        <v>0</v>
      </c>
    </row>
    <row r="297" spans="1:20">
      <c r="A297" s="2" t="s">
        <v>95</v>
      </c>
      <c r="B297" s="3">
        <v>45748</v>
      </c>
      <c r="C297" s="2" t="s">
        <v>27</v>
      </c>
      <c r="D297" s="2" t="s">
        <v>18</v>
      </c>
      <c r="E297" s="2">
        <v>27398.28</v>
      </c>
      <c r="F297" s="2">
        <v>1723</v>
      </c>
      <c r="G297" s="2">
        <v>0.17100000000000001</v>
      </c>
      <c r="H297" s="2">
        <v>9</v>
      </c>
      <c r="I297" s="2">
        <v>81</v>
      </c>
      <c r="J297" s="2">
        <v>0.74</v>
      </c>
      <c r="K297" s="2">
        <v>0</v>
      </c>
      <c r="L297" s="2">
        <v>4.5999999999999996</v>
      </c>
      <c r="M297" s="2">
        <v>487738.26</v>
      </c>
      <c r="N297" s="2">
        <v>96435.6</v>
      </c>
      <c r="O297">
        <f t="shared" si="24"/>
        <v>0</v>
      </c>
      <c r="P297">
        <f t="shared" si="25"/>
        <v>0</v>
      </c>
      <c r="Q297">
        <f t="shared" si="26"/>
        <v>1</v>
      </c>
      <c r="R297">
        <f t="shared" si="27"/>
        <v>1</v>
      </c>
      <c r="S297">
        <f t="shared" si="28"/>
        <v>0</v>
      </c>
      <c r="T297">
        <f t="shared" si="29"/>
        <v>0</v>
      </c>
    </row>
    <row r="298" spans="1:20">
      <c r="A298" s="2" t="s">
        <v>96</v>
      </c>
      <c r="B298" s="3">
        <v>45658</v>
      </c>
      <c r="C298" s="2" t="s">
        <v>27</v>
      </c>
      <c r="D298" s="2" t="s">
        <v>18</v>
      </c>
      <c r="E298" s="2">
        <v>55599.56</v>
      </c>
      <c r="F298" s="2">
        <v>5896</v>
      </c>
      <c r="G298" s="2">
        <v>3.5999999999999997E-2</v>
      </c>
      <c r="H298" s="2">
        <v>12</v>
      </c>
      <c r="I298" s="2">
        <v>93.1</v>
      </c>
      <c r="J298" s="2">
        <v>6.13</v>
      </c>
      <c r="K298" s="2">
        <v>0</v>
      </c>
      <c r="L298" s="2">
        <v>3.3</v>
      </c>
      <c r="M298" s="2">
        <v>668459.37</v>
      </c>
      <c r="N298" s="2">
        <v>126435.42</v>
      </c>
      <c r="O298">
        <f t="shared" si="24"/>
        <v>0</v>
      </c>
      <c r="P298">
        <f t="shared" si="25"/>
        <v>0</v>
      </c>
      <c r="Q298">
        <f t="shared" si="26"/>
        <v>1</v>
      </c>
      <c r="R298">
        <f t="shared" si="27"/>
        <v>1</v>
      </c>
      <c r="S298">
        <f t="shared" si="28"/>
        <v>0</v>
      </c>
      <c r="T298">
        <f t="shared" si="29"/>
        <v>0</v>
      </c>
    </row>
    <row r="299" spans="1:20">
      <c r="A299" s="2" t="s">
        <v>96</v>
      </c>
      <c r="B299" s="3">
        <v>45689</v>
      </c>
      <c r="C299" s="2" t="s">
        <v>27</v>
      </c>
      <c r="D299" s="2" t="s">
        <v>18</v>
      </c>
      <c r="E299" s="2">
        <v>55477.61</v>
      </c>
      <c r="F299" s="2">
        <v>5903</v>
      </c>
      <c r="G299" s="2">
        <v>0.10199999999999999</v>
      </c>
      <c r="H299" s="2">
        <v>14</v>
      </c>
      <c r="I299" s="2">
        <v>96.2</v>
      </c>
      <c r="J299" s="2">
        <v>1.41</v>
      </c>
      <c r="K299" s="2">
        <v>0</v>
      </c>
      <c r="L299" s="2">
        <v>3.3</v>
      </c>
      <c r="M299" s="2">
        <v>763162.45</v>
      </c>
      <c r="N299" s="2">
        <v>162524.04999999999</v>
      </c>
      <c r="O299">
        <f t="shared" si="24"/>
        <v>0</v>
      </c>
      <c r="P299">
        <f t="shared" si="25"/>
        <v>0</v>
      </c>
      <c r="Q299">
        <f t="shared" si="26"/>
        <v>1</v>
      </c>
      <c r="R299">
        <f t="shared" si="27"/>
        <v>1</v>
      </c>
      <c r="S299">
        <f t="shared" si="28"/>
        <v>0</v>
      </c>
      <c r="T299">
        <f t="shared" si="29"/>
        <v>0</v>
      </c>
    </row>
    <row r="300" spans="1:20">
      <c r="A300" s="2" t="s">
        <v>96</v>
      </c>
      <c r="B300" s="3">
        <v>45717</v>
      </c>
      <c r="C300" s="2" t="s">
        <v>27</v>
      </c>
      <c r="D300" s="2" t="s">
        <v>18</v>
      </c>
      <c r="E300" s="2">
        <v>46174.7</v>
      </c>
      <c r="F300" s="2">
        <v>4898</v>
      </c>
      <c r="G300" s="2">
        <v>0.114</v>
      </c>
      <c r="H300" s="2">
        <v>11</v>
      </c>
      <c r="I300" s="2">
        <v>91.7</v>
      </c>
      <c r="J300" s="2">
        <v>3.75</v>
      </c>
      <c r="K300" s="2">
        <v>0</v>
      </c>
      <c r="L300" s="2">
        <v>3.1</v>
      </c>
      <c r="M300" s="2">
        <v>599017.32999999996</v>
      </c>
      <c r="N300" s="2">
        <v>134009.92000000001</v>
      </c>
      <c r="O300">
        <f t="shared" si="24"/>
        <v>0</v>
      </c>
      <c r="P300">
        <f t="shared" si="25"/>
        <v>0</v>
      </c>
      <c r="Q300">
        <f t="shared" si="26"/>
        <v>1</v>
      </c>
      <c r="R300">
        <f t="shared" si="27"/>
        <v>1</v>
      </c>
      <c r="S300">
        <f t="shared" si="28"/>
        <v>0</v>
      </c>
      <c r="T300">
        <f t="shared" si="29"/>
        <v>0</v>
      </c>
    </row>
    <row r="301" spans="1:20">
      <c r="A301" s="2" t="s">
        <v>96</v>
      </c>
      <c r="B301" s="3">
        <v>45748</v>
      </c>
      <c r="C301" s="2" t="s">
        <v>27</v>
      </c>
      <c r="D301" s="2" t="s">
        <v>18</v>
      </c>
      <c r="E301" s="2">
        <v>24362.98</v>
      </c>
      <c r="F301" s="2">
        <v>1462</v>
      </c>
      <c r="G301" s="2">
        <v>0.11700000000000001</v>
      </c>
      <c r="H301" s="2">
        <v>6</v>
      </c>
      <c r="I301" s="2">
        <v>89.3</v>
      </c>
      <c r="J301" s="2">
        <v>15.06</v>
      </c>
      <c r="K301" s="2">
        <v>0</v>
      </c>
      <c r="L301" s="2">
        <v>3.2</v>
      </c>
      <c r="M301" s="2">
        <v>401582.58</v>
      </c>
      <c r="N301" s="2">
        <v>68454.929999999993</v>
      </c>
      <c r="O301">
        <f t="shared" si="24"/>
        <v>0</v>
      </c>
      <c r="P301">
        <f t="shared" si="25"/>
        <v>0</v>
      </c>
      <c r="Q301">
        <f t="shared" si="26"/>
        <v>1</v>
      </c>
      <c r="R301">
        <f t="shared" si="27"/>
        <v>1</v>
      </c>
      <c r="S301">
        <f t="shared" si="28"/>
        <v>0</v>
      </c>
      <c r="T301">
        <f t="shared" si="29"/>
        <v>0</v>
      </c>
    </row>
    <row r="302" spans="1:20">
      <c r="A302" s="2" t="s">
        <v>97</v>
      </c>
      <c r="B302" s="3">
        <v>45658</v>
      </c>
      <c r="C302" s="2" t="s">
        <v>20</v>
      </c>
      <c r="D302" s="2" t="s">
        <v>28</v>
      </c>
      <c r="E302" s="2">
        <v>40647.67</v>
      </c>
      <c r="F302" s="2">
        <v>8252</v>
      </c>
      <c r="G302" s="2">
        <v>0.14099999999999999</v>
      </c>
      <c r="H302" s="2">
        <v>22</v>
      </c>
      <c r="I302" s="2">
        <v>88.2</v>
      </c>
      <c r="J302" s="2">
        <v>5.07</v>
      </c>
      <c r="K302" s="2">
        <v>1</v>
      </c>
      <c r="L302" s="2">
        <v>4.0999999999999996</v>
      </c>
      <c r="M302" s="2">
        <v>703812.99</v>
      </c>
      <c r="N302" s="2">
        <v>133577.98000000001</v>
      </c>
      <c r="O302">
        <f t="shared" si="24"/>
        <v>1</v>
      </c>
      <c r="P302">
        <f t="shared" si="25"/>
        <v>0</v>
      </c>
      <c r="Q302">
        <f t="shared" si="26"/>
        <v>0</v>
      </c>
      <c r="R302">
        <f t="shared" si="27"/>
        <v>0</v>
      </c>
      <c r="S302">
        <f t="shared" si="28"/>
        <v>0</v>
      </c>
      <c r="T302">
        <f t="shared" si="29"/>
        <v>1</v>
      </c>
    </row>
    <row r="303" spans="1:20">
      <c r="A303" s="2" t="s">
        <v>97</v>
      </c>
      <c r="B303" s="3">
        <v>45689</v>
      </c>
      <c r="C303" s="2" t="s">
        <v>20</v>
      </c>
      <c r="D303" s="2" t="s">
        <v>28</v>
      </c>
      <c r="E303" s="2">
        <v>63986.98</v>
      </c>
      <c r="F303" s="2">
        <v>7989</v>
      </c>
      <c r="G303" s="2">
        <v>7.3999999999999996E-2</v>
      </c>
      <c r="H303" s="2">
        <v>20</v>
      </c>
      <c r="I303" s="2">
        <v>83.3</v>
      </c>
      <c r="J303" s="2">
        <v>3.6</v>
      </c>
      <c r="K303" s="2">
        <v>0</v>
      </c>
      <c r="L303" s="2">
        <v>3.7</v>
      </c>
      <c r="M303" s="2">
        <v>724346.73</v>
      </c>
      <c r="N303" s="2">
        <v>155013.91</v>
      </c>
      <c r="O303">
        <f t="shared" si="24"/>
        <v>1</v>
      </c>
      <c r="P303">
        <f t="shared" si="25"/>
        <v>0</v>
      </c>
      <c r="Q303">
        <f t="shared" si="26"/>
        <v>0</v>
      </c>
      <c r="R303">
        <f t="shared" si="27"/>
        <v>0</v>
      </c>
      <c r="S303">
        <f t="shared" si="28"/>
        <v>0</v>
      </c>
      <c r="T303">
        <f t="shared" si="29"/>
        <v>1</v>
      </c>
    </row>
    <row r="304" spans="1:20">
      <c r="A304" s="2" t="s">
        <v>97</v>
      </c>
      <c r="B304" s="3">
        <v>45717</v>
      </c>
      <c r="C304" s="2" t="s">
        <v>20</v>
      </c>
      <c r="D304" s="2" t="s">
        <v>28</v>
      </c>
      <c r="E304" s="2">
        <v>52843.75</v>
      </c>
      <c r="F304" s="2">
        <v>8268</v>
      </c>
      <c r="G304" s="2">
        <v>0.13800000000000001</v>
      </c>
      <c r="H304" s="2">
        <v>19</v>
      </c>
      <c r="I304" s="2">
        <v>87.3</v>
      </c>
      <c r="J304" s="2">
        <v>4.3899999999999997</v>
      </c>
      <c r="K304" s="2">
        <v>1</v>
      </c>
      <c r="L304" s="2">
        <v>4.7</v>
      </c>
      <c r="M304" s="2">
        <v>730890.01</v>
      </c>
      <c r="N304" s="2">
        <v>105502.56</v>
      </c>
      <c r="O304">
        <f t="shared" si="24"/>
        <v>1</v>
      </c>
      <c r="P304">
        <f t="shared" si="25"/>
        <v>0</v>
      </c>
      <c r="Q304">
        <f t="shared" si="26"/>
        <v>0</v>
      </c>
      <c r="R304">
        <f t="shared" si="27"/>
        <v>0</v>
      </c>
      <c r="S304">
        <f t="shared" si="28"/>
        <v>0</v>
      </c>
      <c r="T304">
        <f t="shared" si="29"/>
        <v>1</v>
      </c>
    </row>
    <row r="305" spans="1:20">
      <c r="A305" s="2" t="s">
        <v>97</v>
      </c>
      <c r="B305" s="3">
        <v>45748</v>
      </c>
      <c r="C305" s="2" t="s">
        <v>20</v>
      </c>
      <c r="D305" s="2" t="s">
        <v>28</v>
      </c>
      <c r="E305" s="2">
        <v>31997.25</v>
      </c>
      <c r="F305" s="2">
        <v>8183</v>
      </c>
      <c r="G305" s="2">
        <v>0.19800000000000001</v>
      </c>
      <c r="H305" s="2">
        <v>18</v>
      </c>
      <c r="I305" s="2">
        <v>93</v>
      </c>
      <c r="J305" s="2">
        <v>2.79</v>
      </c>
      <c r="K305" s="2">
        <v>0</v>
      </c>
      <c r="L305" s="2">
        <v>4.2</v>
      </c>
      <c r="M305" s="2">
        <v>780580.95</v>
      </c>
      <c r="N305" s="2">
        <v>138144.46</v>
      </c>
      <c r="O305">
        <f t="shared" si="24"/>
        <v>1</v>
      </c>
      <c r="P305">
        <f t="shared" si="25"/>
        <v>0</v>
      </c>
      <c r="Q305">
        <f t="shared" si="26"/>
        <v>0</v>
      </c>
      <c r="R305">
        <f t="shared" si="27"/>
        <v>0</v>
      </c>
      <c r="S305">
        <f t="shared" si="28"/>
        <v>0</v>
      </c>
      <c r="T305">
        <f t="shared" si="29"/>
        <v>1</v>
      </c>
    </row>
    <row r="306" spans="1:20">
      <c r="A306" s="2" t="s">
        <v>98</v>
      </c>
      <c r="B306" s="3">
        <v>45658</v>
      </c>
      <c r="C306" s="2" t="s">
        <v>24</v>
      </c>
      <c r="D306" s="2" t="s">
        <v>16</v>
      </c>
      <c r="E306" s="2">
        <v>54948.02</v>
      </c>
      <c r="F306" s="2">
        <v>6534</v>
      </c>
      <c r="G306" s="2">
        <v>0.183</v>
      </c>
      <c r="H306" s="2">
        <v>14</v>
      </c>
      <c r="I306" s="2">
        <v>94.5</v>
      </c>
      <c r="J306" s="2">
        <v>1.56</v>
      </c>
      <c r="K306" s="2">
        <v>0</v>
      </c>
      <c r="L306" s="2">
        <v>4</v>
      </c>
      <c r="M306" s="2">
        <v>727957.48</v>
      </c>
      <c r="N306" s="2">
        <v>74805.23</v>
      </c>
      <c r="O306">
        <f t="shared" si="24"/>
        <v>0</v>
      </c>
      <c r="P306">
        <f t="shared" si="25"/>
        <v>1</v>
      </c>
      <c r="Q306">
        <f t="shared" si="26"/>
        <v>0</v>
      </c>
      <c r="R306">
        <f t="shared" si="27"/>
        <v>0</v>
      </c>
      <c r="S306">
        <f t="shared" si="28"/>
        <v>0</v>
      </c>
      <c r="T306">
        <f t="shared" si="29"/>
        <v>0</v>
      </c>
    </row>
    <row r="307" spans="1:20">
      <c r="A307" s="2" t="s">
        <v>98</v>
      </c>
      <c r="B307" s="3">
        <v>45689</v>
      </c>
      <c r="C307" s="2" t="s">
        <v>24</v>
      </c>
      <c r="D307" s="2" t="s">
        <v>16</v>
      </c>
      <c r="E307" s="2">
        <v>46146.239999999998</v>
      </c>
      <c r="F307" s="2">
        <v>5804</v>
      </c>
      <c r="G307" s="2">
        <v>4.7E-2</v>
      </c>
      <c r="H307" s="2">
        <v>16</v>
      </c>
      <c r="I307" s="2">
        <v>86.9</v>
      </c>
      <c r="J307" s="2">
        <v>15.82</v>
      </c>
      <c r="K307" s="2">
        <v>0</v>
      </c>
      <c r="L307" s="2">
        <v>3.8</v>
      </c>
      <c r="M307" s="2">
        <v>538376</v>
      </c>
      <c r="N307" s="2">
        <v>87605.62</v>
      </c>
      <c r="O307">
        <f t="shared" si="24"/>
        <v>0</v>
      </c>
      <c r="P307">
        <f t="shared" si="25"/>
        <v>1</v>
      </c>
      <c r="Q307">
        <f t="shared" si="26"/>
        <v>0</v>
      </c>
      <c r="R307">
        <f t="shared" si="27"/>
        <v>0</v>
      </c>
      <c r="S307">
        <f t="shared" si="28"/>
        <v>0</v>
      </c>
      <c r="T307">
        <f t="shared" si="29"/>
        <v>0</v>
      </c>
    </row>
    <row r="308" spans="1:20">
      <c r="A308" s="2" t="s">
        <v>98</v>
      </c>
      <c r="B308" s="3">
        <v>45717</v>
      </c>
      <c r="C308" s="2" t="s">
        <v>24</v>
      </c>
      <c r="D308" s="2" t="s">
        <v>16</v>
      </c>
      <c r="E308" s="2">
        <v>22387.26</v>
      </c>
      <c r="F308" s="2">
        <v>6301</v>
      </c>
      <c r="G308" s="2">
        <v>0.14599999999999999</v>
      </c>
      <c r="H308" s="2">
        <v>14</v>
      </c>
      <c r="I308" s="2">
        <v>85.9</v>
      </c>
      <c r="J308" s="2">
        <v>1.17</v>
      </c>
      <c r="K308" s="2">
        <v>1</v>
      </c>
      <c r="L308" s="2">
        <v>3.7</v>
      </c>
      <c r="M308" s="2">
        <v>665342.49</v>
      </c>
      <c r="N308" s="2">
        <v>93441.81</v>
      </c>
      <c r="O308">
        <f t="shared" si="24"/>
        <v>0</v>
      </c>
      <c r="P308">
        <f t="shared" si="25"/>
        <v>1</v>
      </c>
      <c r="Q308">
        <f t="shared" si="26"/>
        <v>0</v>
      </c>
      <c r="R308">
        <f t="shared" si="27"/>
        <v>0</v>
      </c>
      <c r="S308">
        <f t="shared" si="28"/>
        <v>0</v>
      </c>
      <c r="T308">
        <f t="shared" si="29"/>
        <v>0</v>
      </c>
    </row>
    <row r="309" spans="1:20">
      <c r="A309" s="2" t="s">
        <v>98</v>
      </c>
      <c r="B309" s="3">
        <v>45748</v>
      </c>
      <c r="C309" s="2" t="s">
        <v>24</v>
      </c>
      <c r="D309" s="2" t="s">
        <v>16</v>
      </c>
      <c r="E309" s="2">
        <v>60684.05</v>
      </c>
      <c r="F309" s="2">
        <v>6399</v>
      </c>
      <c r="G309" s="2">
        <v>7.4999999999999997E-2</v>
      </c>
      <c r="H309" s="2">
        <v>16</v>
      </c>
      <c r="I309" s="2">
        <v>99</v>
      </c>
      <c r="J309" s="2">
        <v>3.82</v>
      </c>
      <c r="K309" s="2">
        <v>0</v>
      </c>
      <c r="L309" s="2">
        <v>3.5</v>
      </c>
      <c r="M309" s="2">
        <v>651164.18000000005</v>
      </c>
      <c r="N309" s="2">
        <v>109466.5</v>
      </c>
      <c r="O309">
        <f t="shared" si="24"/>
        <v>0</v>
      </c>
      <c r="P309">
        <f t="shared" si="25"/>
        <v>1</v>
      </c>
      <c r="Q309">
        <f t="shared" si="26"/>
        <v>0</v>
      </c>
      <c r="R309">
        <f t="shared" si="27"/>
        <v>0</v>
      </c>
      <c r="S309">
        <f t="shared" si="28"/>
        <v>0</v>
      </c>
      <c r="T309">
        <f t="shared" si="29"/>
        <v>0</v>
      </c>
    </row>
    <row r="310" spans="1:20">
      <c r="A310" s="2" t="s">
        <v>99</v>
      </c>
      <c r="B310" s="3">
        <v>45658</v>
      </c>
      <c r="C310" s="2" t="s">
        <v>24</v>
      </c>
      <c r="D310" s="2" t="s">
        <v>18</v>
      </c>
      <c r="E310" s="2">
        <v>48465.599999999999</v>
      </c>
      <c r="F310" s="2">
        <v>5759</v>
      </c>
      <c r="G310" s="2">
        <v>0.154</v>
      </c>
      <c r="H310" s="2">
        <v>13</v>
      </c>
      <c r="I310" s="2">
        <v>87.5</v>
      </c>
      <c r="J310" s="2">
        <v>4.1399999999999997</v>
      </c>
      <c r="K310" s="2">
        <v>0</v>
      </c>
      <c r="L310" s="2">
        <v>4</v>
      </c>
      <c r="M310" s="2">
        <v>628538.30000000005</v>
      </c>
      <c r="N310" s="2">
        <v>112509.15</v>
      </c>
      <c r="O310">
        <f t="shared" si="24"/>
        <v>0</v>
      </c>
      <c r="P310">
        <f t="shared" si="25"/>
        <v>1</v>
      </c>
      <c r="Q310">
        <f t="shared" si="26"/>
        <v>0</v>
      </c>
      <c r="R310">
        <f t="shared" si="27"/>
        <v>1</v>
      </c>
      <c r="S310">
        <f t="shared" si="28"/>
        <v>0</v>
      </c>
      <c r="T310">
        <f t="shared" si="29"/>
        <v>0</v>
      </c>
    </row>
    <row r="311" spans="1:20">
      <c r="A311" s="2" t="s">
        <v>99</v>
      </c>
      <c r="B311" s="3">
        <v>45689</v>
      </c>
      <c r="C311" s="2" t="s">
        <v>24</v>
      </c>
      <c r="D311" s="2" t="s">
        <v>18</v>
      </c>
      <c r="E311" s="2">
        <v>23702.38</v>
      </c>
      <c r="F311" s="2">
        <v>5285</v>
      </c>
      <c r="G311" s="2">
        <v>0.16700000000000001</v>
      </c>
      <c r="H311" s="2">
        <v>14</v>
      </c>
      <c r="I311" s="2">
        <v>79.7</v>
      </c>
      <c r="J311" s="2">
        <v>1.1000000000000001</v>
      </c>
      <c r="K311" s="2">
        <v>0</v>
      </c>
      <c r="L311" s="2">
        <v>4.3</v>
      </c>
      <c r="M311" s="2">
        <v>536524.84</v>
      </c>
      <c r="N311" s="2">
        <v>92752.94</v>
      </c>
      <c r="O311">
        <f t="shared" si="24"/>
        <v>0</v>
      </c>
      <c r="P311">
        <f t="shared" si="25"/>
        <v>1</v>
      </c>
      <c r="Q311">
        <f t="shared" si="26"/>
        <v>0</v>
      </c>
      <c r="R311">
        <f t="shared" si="27"/>
        <v>1</v>
      </c>
      <c r="S311">
        <f t="shared" si="28"/>
        <v>0</v>
      </c>
      <c r="T311">
        <f t="shared" si="29"/>
        <v>0</v>
      </c>
    </row>
    <row r="312" spans="1:20">
      <c r="A312" s="2" t="s">
        <v>99</v>
      </c>
      <c r="B312" s="3">
        <v>45717</v>
      </c>
      <c r="C312" s="2" t="s">
        <v>24</v>
      </c>
      <c r="D312" s="2" t="s">
        <v>18</v>
      </c>
      <c r="E312" s="2">
        <v>54322.94</v>
      </c>
      <c r="F312" s="2">
        <v>5434</v>
      </c>
      <c r="G312" s="2">
        <v>0.2</v>
      </c>
      <c r="H312" s="2">
        <v>13</v>
      </c>
      <c r="I312" s="2">
        <v>85.7</v>
      </c>
      <c r="J312" s="2">
        <v>10.6</v>
      </c>
      <c r="K312" s="2">
        <v>0</v>
      </c>
      <c r="L312" s="2">
        <v>4.2</v>
      </c>
      <c r="M312" s="2">
        <v>621677.30000000005</v>
      </c>
      <c r="N312" s="2">
        <v>105192.52</v>
      </c>
      <c r="O312">
        <f t="shared" si="24"/>
        <v>0</v>
      </c>
      <c r="P312">
        <f t="shared" si="25"/>
        <v>1</v>
      </c>
      <c r="Q312">
        <f t="shared" si="26"/>
        <v>0</v>
      </c>
      <c r="R312">
        <f t="shared" si="27"/>
        <v>1</v>
      </c>
      <c r="S312">
        <f t="shared" si="28"/>
        <v>0</v>
      </c>
      <c r="T312">
        <f t="shared" si="29"/>
        <v>0</v>
      </c>
    </row>
    <row r="313" spans="1:20">
      <c r="A313" s="2" t="s">
        <v>99</v>
      </c>
      <c r="B313" s="3">
        <v>45748</v>
      </c>
      <c r="C313" s="2" t="s">
        <v>24</v>
      </c>
      <c r="D313" s="2" t="s">
        <v>18</v>
      </c>
      <c r="E313" s="2">
        <v>86026.58</v>
      </c>
      <c r="F313" s="2">
        <v>7479</v>
      </c>
      <c r="G313" s="2">
        <v>0.14199999999999999</v>
      </c>
      <c r="H313" s="2">
        <v>20</v>
      </c>
      <c r="I313" s="2">
        <v>89</v>
      </c>
      <c r="J313" s="2">
        <v>0.9</v>
      </c>
      <c r="K313" s="2">
        <v>0</v>
      </c>
      <c r="L313" s="2"/>
      <c r="M313" s="2">
        <v>771129.07</v>
      </c>
      <c r="N313" s="2">
        <v>116851.13</v>
      </c>
      <c r="O313">
        <f t="shared" si="24"/>
        <v>0</v>
      </c>
      <c r="P313">
        <f t="shared" si="25"/>
        <v>1</v>
      </c>
      <c r="Q313">
        <f t="shared" si="26"/>
        <v>0</v>
      </c>
      <c r="R313">
        <f t="shared" si="27"/>
        <v>1</v>
      </c>
      <c r="S313">
        <f t="shared" si="28"/>
        <v>0</v>
      </c>
      <c r="T313">
        <f t="shared" si="29"/>
        <v>0</v>
      </c>
    </row>
    <row r="314" spans="1:20">
      <c r="A314" s="2" t="s">
        <v>100</v>
      </c>
      <c r="B314" s="3">
        <v>45658</v>
      </c>
      <c r="C314" s="2" t="s">
        <v>20</v>
      </c>
      <c r="D314" s="2" t="s">
        <v>16</v>
      </c>
      <c r="E314" s="2">
        <v>78967.520000000004</v>
      </c>
      <c r="F314" s="2">
        <v>6164</v>
      </c>
      <c r="G314" s="2">
        <v>2.1000000000000001E-2</v>
      </c>
      <c r="H314" s="2">
        <v>16</v>
      </c>
      <c r="I314" s="2">
        <v>85.5</v>
      </c>
      <c r="J314" s="2">
        <v>0.2</v>
      </c>
      <c r="K314" s="2">
        <v>0</v>
      </c>
      <c r="L314" s="2">
        <v>3.4</v>
      </c>
      <c r="M314" s="2">
        <v>702052.47</v>
      </c>
      <c r="N314" s="2">
        <v>121732.51</v>
      </c>
      <c r="O314">
        <f t="shared" si="24"/>
        <v>1</v>
      </c>
      <c r="P314">
        <f t="shared" si="25"/>
        <v>0</v>
      </c>
      <c r="Q314">
        <f t="shared" si="26"/>
        <v>0</v>
      </c>
      <c r="R314">
        <f t="shared" si="27"/>
        <v>0</v>
      </c>
      <c r="S314">
        <f t="shared" si="28"/>
        <v>0</v>
      </c>
      <c r="T314">
        <f t="shared" si="29"/>
        <v>0</v>
      </c>
    </row>
    <row r="315" spans="1:20">
      <c r="A315" s="2" t="s">
        <v>100</v>
      </c>
      <c r="B315" s="3">
        <v>45689</v>
      </c>
      <c r="C315" s="2" t="s">
        <v>20</v>
      </c>
      <c r="D315" s="2" t="s">
        <v>16</v>
      </c>
      <c r="E315" s="2">
        <v>46767.99</v>
      </c>
      <c r="F315" s="2">
        <v>7973</v>
      </c>
      <c r="G315" s="2">
        <v>0.183</v>
      </c>
      <c r="H315" s="2">
        <v>18</v>
      </c>
      <c r="I315" s="2">
        <v>94.8</v>
      </c>
      <c r="J315" s="2">
        <v>4.67</v>
      </c>
      <c r="K315" s="2">
        <v>0</v>
      </c>
      <c r="L315" s="2"/>
      <c r="M315" s="2">
        <v>688368.46</v>
      </c>
      <c r="N315" s="2">
        <v>93588.42</v>
      </c>
      <c r="O315">
        <f t="shared" si="24"/>
        <v>1</v>
      </c>
      <c r="P315">
        <f t="shared" si="25"/>
        <v>0</v>
      </c>
      <c r="Q315">
        <f t="shared" si="26"/>
        <v>0</v>
      </c>
      <c r="R315">
        <f t="shared" si="27"/>
        <v>0</v>
      </c>
      <c r="S315">
        <f t="shared" si="28"/>
        <v>0</v>
      </c>
      <c r="T315">
        <f t="shared" si="29"/>
        <v>0</v>
      </c>
    </row>
    <row r="316" spans="1:20">
      <c r="A316" s="2" t="s">
        <v>100</v>
      </c>
      <c r="B316" s="3">
        <v>45717</v>
      </c>
      <c r="C316" s="2" t="s">
        <v>20</v>
      </c>
      <c r="D316" s="2" t="s">
        <v>16</v>
      </c>
      <c r="E316" s="2">
        <v>62507.16</v>
      </c>
      <c r="F316" s="2">
        <v>6000</v>
      </c>
      <c r="G316" s="2">
        <v>9.0999999999999998E-2</v>
      </c>
      <c r="H316" s="2">
        <v>14</v>
      </c>
      <c r="I316" s="2">
        <v>98.2</v>
      </c>
      <c r="J316" s="2">
        <v>4.38</v>
      </c>
      <c r="K316" s="2">
        <v>1</v>
      </c>
      <c r="L316" s="2">
        <v>3.9</v>
      </c>
      <c r="M316" s="2">
        <v>712375.77</v>
      </c>
      <c r="N316" s="2">
        <v>104171.53</v>
      </c>
      <c r="O316">
        <f t="shared" si="24"/>
        <v>1</v>
      </c>
      <c r="P316">
        <f t="shared" si="25"/>
        <v>0</v>
      </c>
      <c r="Q316">
        <f t="shared" si="26"/>
        <v>0</v>
      </c>
      <c r="R316">
        <f t="shared" si="27"/>
        <v>0</v>
      </c>
      <c r="S316">
        <f t="shared" si="28"/>
        <v>0</v>
      </c>
      <c r="T316">
        <f t="shared" si="29"/>
        <v>0</v>
      </c>
    </row>
    <row r="317" spans="1:20">
      <c r="A317" s="2" t="s">
        <v>100</v>
      </c>
      <c r="B317" s="3">
        <v>45748</v>
      </c>
      <c r="C317" s="2" t="s">
        <v>20</v>
      </c>
      <c r="D317" s="2" t="s">
        <v>16</v>
      </c>
      <c r="E317" s="2">
        <v>66456.28</v>
      </c>
      <c r="F317" s="2">
        <v>9967</v>
      </c>
      <c r="G317" s="2">
        <v>0.108</v>
      </c>
      <c r="H317" s="2">
        <v>20</v>
      </c>
      <c r="I317" s="2">
        <v>94.7</v>
      </c>
      <c r="J317" s="2">
        <v>4.4800000000000004</v>
      </c>
      <c r="K317" s="2">
        <v>0</v>
      </c>
      <c r="L317" s="2">
        <v>4.2</v>
      </c>
      <c r="M317" s="2">
        <v>844710.67</v>
      </c>
      <c r="N317" s="2">
        <v>137140.18</v>
      </c>
      <c r="O317">
        <f t="shared" si="24"/>
        <v>1</v>
      </c>
      <c r="P317">
        <f t="shared" si="25"/>
        <v>0</v>
      </c>
      <c r="Q317">
        <f t="shared" si="26"/>
        <v>0</v>
      </c>
      <c r="R317">
        <f t="shared" si="27"/>
        <v>0</v>
      </c>
      <c r="S317">
        <f t="shared" si="28"/>
        <v>0</v>
      </c>
      <c r="T317">
        <f t="shared" si="29"/>
        <v>0</v>
      </c>
    </row>
    <row r="318" spans="1:20">
      <c r="A318" s="2" t="s">
        <v>101</v>
      </c>
      <c r="B318" s="3">
        <v>45658</v>
      </c>
      <c r="C318" s="2" t="s">
        <v>15</v>
      </c>
      <c r="D318" s="2" t="s">
        <v>16</v>
      </c>
      <c r="E318" s="2">
        <v>76614.320000000007</v>
      </c>
      <c r="F318" s="2">
        <v>5639</v>
      </c>
      <c r="G318" s="2">
        <v>0.17399999999999999</v>
      </c>
      <c r="H318" s="2">
        <v>15</v>
      </c>
      <c r="I318" s="2">
        <v>92.9</v>
      </c>
      <c r="J318" s="2">
        <v>1.02</v>
      </c>
      <c r="K318" s="2">
        <v>1</v>
      </c>
      <c r="L318" s="2">
        <v>4</v>
      </c>
      <c r="M318" s="2">
        <v>620264.19999999995</v>
      </c>
      <c r="N318" s="2">
        <v>91365.64</v>
      </c>
      <c r="O318">
        <f t="shared" si="24"/>
        <v>0</v>
      </c>
      <c r="P318">
        <f t="shared" si="25"/>
        <v>0</v>
      </c>
      <c r="Q318">
        <f t="shared" si="26"/>
        <v>0</v>
      </c>
      <c r="R318">
        <f t="shared" si="27"/>
        <v>0</v>
      </c>
      <c r="S318">
        <f t="shared" si="28"/>
        <v>0</v>
      </c>
      <c r="T318">
        <f t="shared" si="29"/>
        <v>0</v>
      </c>
    </row>
    <row r="319" spans="1:20">
      <c r="A319" s="2" t="s">
        <v>101</v>
      </c>
      <c r="B319" s="3">
        <v>45689</v>
      </c>
      <c r="C319" s="2" t="s">
        <v>15</v>
      </c>
      <c r="D319" s="2" t="s">
        <v>16</v>
      </c>
      <c r="E319" s="2">
        <v>24088.06</v>
      </c>
      <c r="F319" s="2">
        <v>3466</v>
      </c>
      <c r="G319" s="2">
        <v>0</v>
      </c>
      <c r="H319" s="2">
        <v>11</v>
      </c>
      <c r="I319" s="2">
        <v>88</v>
      </c>
      <c r="J319" s="2">
        <v>0.2</v>
      </c>
      <c r="K319" s="2">
        <v>0</v>
      </c>
      <c r="L319" s="2">
        <v>3.8</v>
      </c>
      <c r="M319" s="2">
        <v>536845.42000000004</v>
      </c>
      <c r="N319" s="2">
        <v>107473.75</v>
      </c>
      <c r="O319">
        <f t="shared" si="24"/>
        <v>0</v>
      </c>
      <c r="P319">
        <f t="shared" si="25"/>
        <v>0</v>
      </c>
      <c r="Q319">
        <f t="shared" si="26"/>
        <v>0</v>
      </c>
      <c r="R319">
        <f t="shared" si="27"/>
        <v>0</v>
      </c>
      <c r="S319">
        <f t="shared" si="28"/>
        <v>0</v>
      </c>
      <c r="T319">
        <f t="shared" si="29"/>
        <v>0</v>
      </c>
    </row>
    <row r="320" spans="1:20">
      <c r="A320" s="2" t="s">
        <v>101</v>
      </c>
      <c r="B320" s="3">
        <v>45717</v>
      </c>
      <c r="C320" s="2" t="s">
        <v>15</v>
      </c>
      <c r="D320" s="2" t="s">
        <v>16</v>
      </c>
      <c r="E320" s="2">
        <v>81902.58</v>
      </c>
      <c r="F320" s="2">
        <v>7775</v>
      </c>
      <c r="G320" s="2">
        <v>0.215</v>
      </c>
      <c r="H320" s="2">
        <v>20</v>
      </c>
      <c r="I320" s="2">
        <v>85.2</v>
      </c>
      <c r="J320" s="2">
        <v>4.8899999999999997</v>
      </c>
      <c r="K320" s="2">
        <v>1</v>
      </c>
      <c r="L320" s="2">
        <v>4.2</v>
      </c>
      <c r="M320" s="2">
        <v>726776.22</v>
      </c>
      <c r="N320" s="2">
        <v>90804.49</v>
      </c>
      <c r="O320">
        <f t="shared" si="24"/>
        <v>0</v>
      </c>
      <c r="P320">
        <f t="shared" si="25"/>
        <v>0</v>
      </c>
      <c r="Q320">
        <f t="shared" si="26"/>
        <v>0</v>
      </c>
      <c r="R320">
        <f t="shared" si="27"/>
        <v>0</v>
      </c>
      <c r="S320">
        <f t="shared" si="28"/>
        <v>0</v>
      </c>
      <c r="T320">
        <f t="shared" si="29"/>
        <v>0</v>
      </c>
    </row>
    <row r="321" spans="1:20">
      <c r="A321" s="2" t="s">
        <v>101</v>
      </c>
      <c r="B321" s="3">
        <v>45748</v>
      </c>
      <c r="C321" s="2" t="s">
        <v>15</v>
      </c>
      <c r="D321" s="2" t="s">
        <v>16</v>
      </c>
      <c r="E321" s="2">
        <v>40553.11</v>
      </c>
      <c r="F321" s="2">
        <v>5317</v>
      </c>
      <c r="G321" s="2">
        <v>0.16500000000000001</v>
      </c>
      <c r="H321" s="2">
        <v>17</v>
      </c>
      <c r="I321" s="2">
        <v>84.3</v>
      </c>
      <c r="J321" s="2">
        <v>11.82</v>
      </c>
      <c r="K321" s="2">
        <v>0</v>
      </c>
      <c r="L321" s="2">
        <v>4.0999999999999996</v>
      </c>
      <c r="M321" s="2">
        <v>559660.84</v>
      </c>
      <c r="N321" s="2">
        <v>71443.61</v>
      </c>
      <c r="O321">
        <f t="shared" si="24"/>
        <v>0</v>
      </c>
      <c r="P321">
        <f t="shared" si="25"/>
        <v>0</v>
      </c>
      <c r="Q321">
        <f t="shared" si="26"/>
        <v>0</v>
      </c>
      <c r="R321">
        <f t="shared" si="27"/>
        <v>0</v>
      </c>
      <c r="S321">
        <f t="shared" si="28"/>
        <v>0</v>
      </c>
      <c r="T321">
        <f t="shared" si="2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B17" sqref="B17"/>
    </sheetView>
  </sheetViews>
  <sheetFormatPr defaultRowHeight="14.25"/>
  <cols>
    <col min="1" max="1" width="18" bestFit="1" customWidth="1"/>
    <col min="2" max="2" width="14.5" bestFit="1" customWidth="1"/>
    <col min="3" max="3" width="13.5" bestFit="1" customWidth="1"/>
    <col min="4" max="5" width="12.25" bestFit="1" customWidth="1"/>
    <col min="6" max="6" width="12.875" bestFit="1" customWidth="1"/>
    <col min="7" max="8" width="11.875" bestFit="1" customWidth="1"/>
    <col min="9" max="9" width="12" bestFit="1" customWidth="1"/>
  </cols>
  <sheetData>
    <row r="1" spans="1:9">
      <c r="A1" t="s">
        <v>124</v>
      </c>
      <c r="H1" s="14" t="s">
        <v>174</v>
      </c>
    </row>
    <row r="2" spans="1:9" ht="15" thickBot="1">
      <c r="H2" s="14"/>
    </row>
    <row r="3" spans="1:9">
      <c r="A3" s="8" t="s">
        <v>125</v>
      </c>
      <c r="B3" s="8"/>
      <c r="H3" s="15" t="s">
        <v>176</v>
      </c>
    </row>
    <row r="4" spans="1:9">
      <c r="A4" s="5" t="s">
        <v>126</v>
      </c>
      <c r="B4" s="5">
        <v>0.40895561021322352</v>
      </c>
      <c r="H4" s="15" t="s">
        <v>177</v>
      </c>
    </row>
    <row r="5" spans="1:9" ht="15">
      <c r="A5" s="5" t="s">
        <v>127</v>
      </c>
      <c r="B5" s="18">
        <v>0.16724469112487</v>
      </c>
      <c r="H5" s="15" t="s">
        <v>178</v>
      </c>
    </row>
    <row r="6" spans="1:9">
      <c r="A6" s="5" t="s">
        <v>128</v>
      </c>
      <c r="B6" s="5">
        <v>0.16462596373847024</v>
      </c>
      <c r="H6" s="15" t="s">
        <v>179</v>
      </c>
    </row>
    <row r="7" spans="1:9">
      <c r="A7" s="5" t="s">
        <v>129</v>
      </c>
      <c r="B7" s="5">
        <v>94846.03383215853</v>
      </c>
      <c r="H7" s="14" t="s">
        <v>180</v>
      </c>
    </row>
    <row r="8" spans="1:9" ht="15" thickBot="1">
      <c r="A8" s="6" t="s">
        <v>130</v>
      </c>
      <c r="B8" s="6">
        <v>320</v>
      </c>
      <c r="H8" s="14" t="s">
        <v>173</v>
      </c>
    </row>
    <row r="9" spans="1:9">
      <c r="H9" s="15" t="s">
        <v>181</v>
      </c>
    </row>
    <row r="10" spans="1:9" ht="15" thickBot="1">
      <c r="A10" t="s">
        <v>131</v>
      </c>
      <c r="H10" s="14" t="s">
        <v>175</v>
      </c>
    </row>
    <row r="11" spans="1:9">
      <c r="A11" s="7"/>
      <c r="B11" s="7" t="s">
        <v>136</v>
      </c>
      <c r="C11" s="7" t="s">
        <v>137</v>
      </c>
      <c r="D11" s="7" t="s">
        <v>138</v>
      </c>
      <c r="E11" s="7" t="s">
        <v>139</v>
      </c>
      <c r="F11" s="7" t="s">
        <v>140</v>
      </c>
    </row>
    <row r="12" spans="1:9">
      <c r="A12" s="5" t="s">
        <v>132</v>
      </c>
      <c r="B12" s="5">
        <v>1</v>
      </c>
      <c r="C12" s="5">
        <v>574513714277.01416</v>
      </c>
      <c r="D12" s="5">
        <v>574513714277.01416</v>
      </c>
      <c r="E12" s="5">
        <v>63.864872683367629</v>
      </c>
      <c r="F12" s="5">
        <v>2.4800615101359619E-14</v>
      </c>
    </row>
    <row r="13" spans="1:9">
      <c r="A13" s="5" t="s">
        <v>133</v>
      </c>
      <c r="B13" s="5">
        <v>318</v>
      </c>
      <c r="C13" s="5">
        <v>2860654902513.7251</v>
      </c>
      <c r="D13" s="5">
        <v>8995770133.6909599</v>
      </c>
      <c r="E13" s="5"/>
      <c r="F13" s="5"/>
    </row>
    <row r="14" spans="1:9" ht="15" thickBot="1">
      <c r="A14" s="6" t="s">
        <v>134</v>
      </c>
      <c r="B14" s="6">
        <v>319</v>
      </c>
      <c r="C14" s="6">
        <v>3435168616790.7393</v>
      </c>
      <c r="D14" s="6"/>
      <c r="E14" s="6"/>
      <c r="F14" s="6"/>
    </row>
    <row r="15" spans="1:9" ht="15" thickBot="1"/>
    <row r="16" spans="1:9">
      <c r="A16" s="7"/>
      <c r="B16" s="7" t="s">
        <v>141</v>
      </c>
      <c r="C16" s="7" t="s">
        <v>129</v>
      </c>
      <c r="D16" s="7" t="s">
        <v>142</v>
      </c>
      <c r="E16" s="7" t="s">
        <v>143</v>
      </c>
      <c r="F16" s="7" t="s">
        <v>144</v>
      </c>
      <c r="G16" s="7" t="s">
        <v>145</v>
      </c>
      <c r="H16" s="7" t="s">
        <v>146</v>
      </c>
      <c r="I16" s="7" t="s">
        <v>147</v>
      </c>
    </row>
    <row r="17" spans="1:9" ht="15">
      <c r="A17" s="5" t="s">
        <v>135</v>
      </c>
      <c r="B17" s="21">
        <v>560777.34544943704</v>
      </c>
      <c r="C17" s="5">
        <v>15906.905953068674</v>
      </c>
      <c r="D17" s="5">
        <v>35.253703460870398</v>
      </c>
      <c r="E17" s="5">
        <v>6.952876876284135E-112</v>
      </c>
      <c r="F17" s="5">
        <v>529481.27234763221</v>
      </c>
      <c r="G17" s="5">
        <v>592073.41855124186</v>
      </c>
      <c r="H17" s="5">
        <v>529481.27234763221</v>
      </c>
      <c r="I17" s="5">
        <v>592073.41855124186</v>
      </c>
    </row>
    <row r="18" spans="1:9" ht="15.75" thickBot="1">
      <c r="A18" s="6" t="s">
        <v>4</v>
      </c>
      <c r="B18" s="17">
        <v>2.1295753275898281</v>
      </c>
      <c r="C18" s="6">
        <v>0.26647838106932348</v>
      </c>
      <c r="D18" s="6">
        <v>7.991550080138869</v>
      </c>
      <c r="E18" s="16">
        <v>2.4800615101360068E-14</v>
      </c>
      <c r="F18" s="6">
        <v>1.6052919176921738</v>
      </c>
      <c r="G18" s="6">
        <v>2.6538587374874822</v>
      </c>
      <c r="H18" s="6">
        <v>1.6052919176921738</v>
      </c>
      <c r="I18" s="6">
        <v>2.6538587374874822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H13" sqref="H13"/>
    </sheetView>
  </sheetViews>
  <sheetFormatPr defaultRowHeight="14.25"/>
  <cols>
    <col min="1" max="1" width="18" bestFit="1" customWidth="1"/>
    <col min="2" max="2" width="11.875" bestFit="1" customWidth="1"/>
    <col min="3" max="3" width="13.5" bestFit="1" customWidth="1"/>
    <col min="4" max="5" width="12.25" bestFit="1" customWidth="1"/>
    <col min="6" max="6" width="12.875" bestFit="1" customWidth="1"/>
    <col min="7" max="8" width="11.875" bestFit="1" customWidth="1"/>
    <col min="9" max="9" width="12" customWidth="1"/>
  </cols>
  <sheetData>
    <row r="1" spans="1:13">
      <c r="A1" t="s">
        <v>124</v>
      </c>
      <c r="H1" s="19" t="s">
        <v>174</v>
      </c>
      <c r="I1" s="14"/>
      <c r="J1" s="14"/>
      <c r="K1" s="14"/>
      <c r="L1" s="14"/>
      <c r="M1" s="14"/>
    </row>
    <row r="2" spans="1:13" ht="15" thickBot="1">
      <c r="H2" s="20" t="s">
        <v>184</v>
      </c>
      <c r="I2" s="14"/>
      <c r="J2" s="14"/>
      <c r="K2" s="14"/>
      <c r="L2" s="14"/>
      <c r="M2" s="14"/>
    </row>
    <row r="3" spans="1:13">
      <c r="A3" s="8" t="s">
        <v>125</v>
      </c>
      <c r="B3" s="8"/>
      <c r="H3" s="20" t="s">
        <v>185</v>
      </c>
      <c r="I3" s="14"/>
      <c r="J3" s="14"/>
      <c r="K3" s="14"/>
      <c r="L3" s="14"/>
      <c r="M3" s="14"/>
    </row>
    <row r="4" spans="1:13">
      <c r="A4" s="5" t="s">
        <v>126</v>
      </c>
      <c r="B4" s="5">
        <v>0.85807070804410468</v>
      </c>
      <c r="H4" s="20" t="s">
        <v>186</v>
      </c>
      <c r="I4" s="14"/>
      <c r="J4" s="14"/>
      <c r="K4" s="14"/>
      <c r="L4" s="14"/>
      <c r="M4" s="14"/>
    </row>
    <row r="5" spans="1:13" ht="15">
      <c r="A5" s="5" t="s">
        <v>127</v>
      </c>
      <c r="B5" s="18">
        <v>0.73628534000331114</v>
      </c>
      <c r="H5" s="20" t="s">
        <v>187</v>
      </c>
      <c r="I5" s="14"/>
      <c r="J5" s="14"/>
      <c r="K5" s="14"/>
      <c r="L5" s="14"/>
      <c r="M5" s="14"/>
    </row>
    <row r="6" spans="1:13">
      <c r="A6" s="5" t="s">
        <v>128</v>
      </c>
      <c r="B6" s="5">
        <v>0.73545604861967373</v>
      </c>
      <c r="H6" s="20" t="s">
        <v>188</v>
      </c>
      <c r="I6" s="14"/>
      <c r="J6" s="14"/>
      <c r="K6" s="14"/>
      <c r="L6" s="14"/>
      <c r="M6" s="14"/>
    </row>
    <row r="7" spans="1:13">
      <c r="A7" s="5" t="s">
        <v>129</v>
      </c>
      <c r="B7" s="5">
        <v>53373.736380790499</v>
      </c>
      <c r="H7" s="19" t="s">
        <v>182</v>
      </c>
      <c r="I7" s="14"/>
      <c r="J7" s="14"/>
      <c r="K7" s="14"/>
      <c r="L7" s="14"/>
      <c r="M7" s="14"/>
    </row>
    <row r="8" spans="1:13" ht="15" thickBot="1">
      <c r="A8" s="6" t="s">
        <v>130</v>
      </c>
      <c r="B8" s="6">
        <v>320</v>
      </c>
      <c r="H8" s="20" t="s">
        <v>189</v>
      </c>
      <c r="I8" s="14"/>
      <c r="J8" s="14"/>
      <c r="K8" s="14"/>
      <c r="L8" s="14"/>
      <c r="M8" s="14"/>
    </row>
    <row r="9" spans="1:13">
      <c r="H9" s="19" t="s">
        <v>183</v>
      </c>
      <c r="I9" s="14"/>
      <c r="J9" s="14"/>
      <c r="K9" s="14"/>
      <c r="L9" s="14"/>
      <c r="M9" s="14"/>
    </row>
    <row r="10" spans="1:13" ht="15" thickBot="1">
      <c r="A10" t="s">
        <v>131</v>
      </c>
      <c r="H10" s="19"/>
      <c r="I10" s="14"/>
      <c r="J10" s="14"/>
      <c r="K10" s="14"/>
      <c r="L10" s="14"/>
      <c r="M10" s="14"/>
    </row>
    <row r="11" spans="1:13">
      <c r="A11" s="7"/>
      <c r="B11" s="7" t="s">
        <v>136</v>
      </c>
      <c r="C11" s="7" t="s">
        <v>137</v>
      </c>
      <c r="D11" s="7" t="s">
        <v>138</v>
      </c>
      <c r="E11" s="7" t="s">
        <v>139</v>
      </c>
      <c r="F11" s="7" t="s">
        <v>140</v>
      </c>
      <c r="H11" s="19"/>
      <c r="I11" s="14"/>
      <c r="J11" s="14"/>
      <c r="K11" s="14"/>
      <c r="L11" s="14"/>
      <c r="M11" s="14"/>
    </row>
    <row r="12" spans="1:13">
      <c r="A12" s="5" t="s">
        <v>132</v>
      </c>
      <c r="B12" s="5">
        <v>1</v>
      </c>
      <c r="C12" s="5">
        <v>2529264292982.4736</v>
      </c>
      <c r="D12" s="5">
        <v>2529264292982.4736</v>
      </c>
      <c r="E12" s="5">
        <v>887.84877611276033</v>
      </c>
      <c r="F12" s="5">
        <v>4.7503615090053331E-94</v>
      </c>
      <c r="H12" s="14"/>
      <c r="I12" s="14"/>
      <c r="J12" s="14"/>
      <c r="K12" s="14"/>
      <c r="L12" s="14"/>
      <c r="M12" s="14"/>
    </row>
    <row r="13" spans="1:13">
      <c r="A13" s="5" t="s">
        <v>133</v>
      </c>
      <c r="B13" s="5">
        <v>318</v>
      </c>
      <c r="C13" s="5">
        <v>905904323808.26587</v>
      </c>
      <c r="D13" s="5">
        <v>2848755735.246119</v>
      </c>
      <c r="E13" s="5"/>
      <c r="F13" s="5"/>
    </row>
    <row r="14" spans="1:13" ht="15" thickBot="1">
      <c r="A14" s="6" t="s">
        <v>134</v>
      </c>
      <c r="B14" s="6">
        <v>319</v>
      </c>
      <c r="C14" s="6">
        <v>3435168616790.7393</v>
      </c>
      <c r="D14" s="6"/>
      <c r="E14" s="6"/>
      <c r="F14" s="6"/>
    </row>
    <row r="15" spans="1:13" ht="15" thickBot="1"/>
    <row r="16" spans="1:13">
      <c r="A16" s="7"/>
      <c r="B16" s="7" t="s">
        <v>141</v>
      </c>
      <c r="C16" s="7" t="s">
        <v>129</v>
      </c>
      <c r="D16" s="7" t="s">
        <v>142</v>
      </c>
      <c r="E16" s="7" t="s">
        <v>143</v>
      </c>
      <c r="F16" s="7" t="s">
        <v>144</v>
      </c>
      <c r="G16" s="7" t="s">
        <v>145</v>
      </c>
      <c r="H16" s="7" t="s">
        <v>146</v>
      </c>
      <c r="I16" s="7" t="s">
        <v>147</v>
      </c>
    </row>
    <row r="17" spans="1:9" ht="15">
      <c r="A17" s="5" t="s">
        <v>135</v>
      </c>
      <c r="B17" s="21">
        <v>446410.58293395344</v>
      </c>
      <c r="C17" s="5">
        <v>8407.7382630059928</v>
      </c>
      <c r="D17" s="5">
        <v>53.095204556754318</v>
      </c>
      <c r="E17" s="5">
        <v>4.0862695711507226E-160</v>
      </c>
      <c r="F17" s="5">
        <v>429868.76191129786</v>
      </c>
      <c r="G17" s="5">
        <v>462952.40395660902</v>
      </c>
      <c r="H17" s="5">
        <v>429868.76191129786</v>
      </c>
      <c r="I17" s="5">
        <v>462952.40395660902</v>
      </c>
    </row>
    <row r="18" spans="1:9" ht="15.75" thickBot="1">
      <c r="A18" s="6" t="s">
        <v>5</v>
      </c>
      <c r="B18" s="17">
        <v>35.678031072640458</v>
      </c>
      <c r="C18" s="6">
        <v>1.1973782890340821</v>
      </c>
      <c r="D18" s="6">
        <v>29.796791372776362</v>
      </c>
      <c r="E18" s="16">
        <v>4.7503615090054677E-94</v>
      </c>
      <c r="F18" s="6">
        <v>33.322246825554025</v>
      </c>
      <c r="G18" s="6">
        <v>38.033815319726891</v>
      </c>
      <c r="H18" s="6">
        <v>33.322246825554025</v>
      </c>
      <c r="I18" s="6">
        <v>38.033815319726891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zoomScale="80" zoomScaleNormal="80" workbookViewId="0">
      <selection activeCell="K35" sqref="K35"/>
    </sheetView>
  </sheetViews>
  <sheetFormatPr defaultRowHeight="14.25"/>
  <cols>
    <col min="1" max="1" width="18.125" bestFit="1" customWidth="1"/>
    <col min="2" max="2" width="21.875" bestFit="1" customWidth="1"/>
    <col min="3" max="3" width="13.5" bestFit="1" customWidth="1"/>
    <col min="4" max="5" width="12.25" bestFit="1" customWidth="1"/>
    <col min="6" max="6" width="12.875" bestFit="1" customWidth="1"/>
    <col min="7" max="7" width="11.875" bestFit="1" customWidth="1"/>
    <col min="8" max="8" width="12.5" bestFit="1" customWidth="1"/>
    <col min="9" max="9" width="12" bestFit="1" customWidth="1"/>
  </cols>
  <sheetData>
    <row r="1" spans="1:8" ht="15">
      <c r="A1">
        <v>4</v>
      </c>
      <c r="H1" s="13" t="s">
        <v>190</v>
      </c>
    </row>
    <row r="2" spans="1:8" ht="15.75" thickBot="1">
      <c r="H2" s="13" t="s">
        <v>191</v>
      </c>
    </row>
    <row r="3" spans="1:8" ht="15">
      <c r="A3" s="8" t="s">
        <v>125</v>
      </c>
      <c r="B3" s="8"/>
      <c r="H3" s="13" t="s">
        <v>193</v>
      </c>
    </row>
    <row r="4" spans="1:8" ht="15">
      <c r="A4" s="5" t="s">
        <v>126</v>
      </c>
      <c r="B4" s="5">
        <v>0.89029629555297063</v>
      </c>
      <c r="H4" s="13" t="s">
        <v>194</v>
      </c>
    </row>
    <row r="5" spans="1:8" ht="15">
      <c r="A5" s="5" t="s">
        <v>127</v>
      </c>
      <c r="B5" s="18">
        <v>0.79262749387534248</v>
      </c>
      <c r="H5" s="13" t="s">
        <v>192</v>
      </c>
    </row>
    <row r="6" spans="1:8" ht="15">
      <c r="A6" s="5" t="s">
        <v>128</v>
      </c>
      <c r="B6" s="5">
        <v>0.7886523020646462</v>
      </c>
      <c r="H6" s="22" t="s">
        <v>196</v>
      </c>
    </row>
    <row r="7" spans="1:8" ht="15">
      <c r="A7" s="5" t="s">
        <v>129</v>
      </c>
      <c r="B7" s="5">
        <v>47706.48829706417</v>
      </c>
      <c r="H7" s="13" t="s">
        <v>195</v>
      </c>
    </row>
    <row r="8" spans="1:8" ht="15.75" thickBot="1">
      <c r="A8" s="6" t="s">
        <v>130</v>
      </c>
      <c r="B8" s="6">
        <v>320</v>
      </c>
      <c r="H8" s="13" t="s">
        <v>197</v>
      </c>
    </row>
    <row r="9" spans="1:8" ht="15">
      <c r="H9" s="13" t="s">
        <v>198</v>
      </c>
    </row>
    <row r="10" spans="1:8" ht="15">
      <c r="H10" s="13" t="s">
        <v>199</v>
      </c>
    </row>
    <row r="11" spans="1:8" ht="15">
      <c r="H11" s="13" t="s">
        <v>200</v>
      </c>
    </row>
    <row r="12" spans="1:8" ht="15">
      <c r="H12" s="13" t="s">
        <v>201</v>
      </c>
    </row>
    <row r="13" spans="1:8" ht="15">
      <c r="H13" s="13" t="s">
        <v>202</v>
      </c>
    </row>
    <row r="14" spans="1:8" ht="15.75" thickBot="1">
      <c r="A14" t="s">
        <v>131</v>
      </c>
      <c r="H14" s="13" t="s">
        <v>203</v>
      </c>
    </row>
    <row r="15" spans="1:8">
      <c r="A15" s="7"/>
      <c r="B15" s="7" t="s">
        <v>136</v>
      </c>
      <c r="C15" s="7" t="s">
        <v>137</v>
      </c>
      <c r="D15" s="7" t="s">
        <v>138</v>
      </c>
      <c r="E15" s="7" t="s">
        <v>139</v>
      </c>
      <c r="F15" s="7" t="s">
        <v>140</v>
      </c>
    </row>
    <row r="16" spans="1:8">
      <c r="A16" s="5" t="s">
        <v>132</v>
      </c>
      <c r="B16" s="5">
        <v>6</v>
      </c>
      <c r="C16" s="5">
        <v>2722809091766.0703</v>
      </c>
      <c r="D16" s="5">
        <v>453801515294.34503</v>
      </c>
      <c r="E16" s="5">
        <v>199.39352152582103</v>
      </c>
      <c r="F16" s="5">
        <v>9.2772654988217853E-104</v>
      </c>
    </row>
    <row r="17" spans="1:9">
      <c r="A17" s="5" t="s">
        <v>133</v>
      </c>
      <c r="B17" s="5">
        <v>313</v>
      </c>
      <c r="C17" s="5">
        <v>712359525024.66907</v>
      </c>
      <c r="D17" s="5">
        <v>2275909025.6379204</v>
      </c>
      <c r="E17" s="5"/>
      <c r="F17" s="5"/>
    </row>
    <row r="18" spans="1:9" ht="15" thickBot="1">
      <c r="A18" s="6" t="s">
        <v>134</v>
      </c>
      <c r="B18" s="6">
        <v>319</v>
      </c>
      <c r="C18" s="6">
        <v>3435168616790.7393</v>
      </c>
      <c r="D18" s="6"/>
      <c r="E18" s="6"/>
      <c r="F18" s="6"/>
    </row>
    <row r="19" spans="1:9" ht="15" thickBot="1"/>
    <row r="20" spans="1:9">
      <c r="A20" s="7"/>
      <c r="B20" s="7" t="s">
        <v>141</v>
      </c>
      <c r="C20" s="7" t="s">
        <v>129</v>
      </c>
      <c r="D20" s="7" t="s">
        <v>142</v>
      </c>
      <c r="E20" s="7" t="s">
        <v>143</v>
      </c>
      <c r="F20" s="7" t="s">
        <v>144</v>
      </c>
      <c r="G20" s="7" t="s">
        <v>145</v>
      </c>
      <c r="H20" s="7" t="s">
        <v>146</v>
      </c>
      <c r="I20" s="7" t="s">
        <v>147</v>
      </c>
    </row>
    <row r="21" spans="1:9" ht="15">
      <c r="A21" s="5" t="s">
        <v>135</v>
      </c>
      <c r="B21" s="21">
        <v>391327.12702655437</v>
      </c>
      <c r="C21" s="5">
        <v>12196.471223275552</v>
      </c>
      <c r="D21" s="5">
        <v>32.085274491506354</v>
      </c>
      <c r="E21" s="5">
        <v>5.583807041372155E-101</v>
      </c>
      <c r="F21" s="5">
        <v>367329.6915111735</v>
      </c>
      <c r="G21" s="5">
        <v>415324.56254193524</v>
      </c>
      <c r="H21" s="5">
        <v>367329.6915111735</v>
      </c>
      <c r="I21" s="5">
        <v>415324.56254193524</v>
      </c>
    </row>
    <row r="22" spans="1:9" ht="15">
      <c r="A22" s="5" t="s">
        <v>4</v>
      </c>
      <c r="B22" s="18">
        <v>1.1427677945621104</v>
      </c>
      <c r="C22" s="5">
        <v>0.13819606862334297</v>
      </c>
      <c r="D22" s="5">
        <v>8.2691773068939778</v>
      </c>
      <c r="E22" s="21">
        <v>3.9015788624561405E-15</v>
      </c>
      <c r="F22" s="5">
        <v>0.87085707673587964</v>
      </c>
      <c r="G22" s="5">
        <v>1.4146785123883412</v>
      </c>
      <c r="H22" s="5">
        <v>0.87085707673587964</v>
      </c>
      <c r="I22" s="5">
        <v>1.4146785123883412</v>
      </c>
    </row>
    <row r="23" spans="1:9" ht="15">
      <c r="A23" s="5" t="s">
        <v>5</v>
      </c>
      <c r="B23" s="18">
        <v>33.759348463201675</v>
      </c>
      <c r="C23" s="5">
        <v>1.1067823756005064</v>
      </c>
      <c r="D23" s="5">
        <v>30.502246157366645</v>
      </c>
      <c r="E23" s="21">
        <v>9.1860329683589992E-96</v>
      </c>
      <c r="F23" s="5">
        <v>31.581674429310084</v>
      </c>
      <c r="G23" s="5">
        <v>35.937022497093267</v>
      </c>
      <c r="H23" s="5">
        <v>31.581674429310084</v>
      </c>
      <c r="I23" s="5">
        <v>35.937022497093267</v>
      </c>
    </row>
    <row r="24" spans="1:9" ht="15">
      <c r="A24" s="5" t="s">
        <v>6</v>
      </c>
      <c r="B24" s="23">
        <v>-72697.034300127096</v>
      </c>
      <c r="C24" s="5">
        <v>39930.44344078932</v>
      </c>
      <c r="D24" s="5">
        <v>-1.8205917098798456</v>
      </c>
      <c r="E24" s="18">
        <v>6.9623727562908674E-2</v>
      </c>
      <c r="F24" s="5">
        <v>-151263.05753988493</v>
      </c>
      <c r="G24" s="5">
        <v>5868.9889396307553</v>
      </c>
      <c r="H24" s="5">
        <v>-151263.05753988493</v>
      </c>
      <c r="I24" s="5">
        <v>5868.9889396307553</v>
      </c>
    </row>
    <row r="25" spans="1:9" ht="15">
      <c r="A25" s="5" t="s">
        <v>118</v>
      </c>
      <c r="B25" s="23">
        <v>13427.776330494597</v>
      </c>
      <c r="C25" s="5">
        <v>7615.8956358282212</v>
      </c>
      <c r="D25" s="5">
        <v>1.7631250443250512</v>
      </c>
      <c r="E25" s="18">
        <v>7.8855155055438012E-2</v>
      </c>
      <c r="F25" s="5">
        <v>-1557.0468258851215</v>
      </c>
      <c r="G25" s="5">
        <v>28412.599486874315</v>
      </c>
      <c r="H25" s="5">
        <v>-1557.0468258851215</v>
      </c>
      <c r="I25" s="5">
        <v>28412.599486874315</v>
      </c>
    </row>
    <row r="26" spans="1:9" ht="15">
      <c r="A26" s="5" t="s">
        <v>120</v>
      </c>
      <c r="B26" s="23">
        <v>21268.104868203525</v>
      </c>
      <c r="C26" s="5">
        <v>7850.2362495514035</v>
      </c>
      <c r="D26" s="5">
        <v>2.7092311864396281</v>
      </c>
      <c r="E26" s="18">
        <v>7.1152744129848273E-3</v>
      </c>
      <c r="F26" s="5">
        <v>5822.1996772329403</v>
      </c>
      <c r="G26" s="5">
        <v>36714.010059174107</v>
      </c>
      <c r="H26" s="5">
        <v>5822.1996772329403</v>
      </c>
      <c r="I26" s="5">
        <v>36714.010059174107</v>
      </c>
    </row>
    <row r="27" spans="1:9" ht="15.75" thickBot="1">
      <c r="A27" s="6" t="s">
        <v>119</v>
      </c>
      <c r="B27" s="24">
        <v>19854.545884289179</v>
      </c>
      <c r="C27" s="6">
        <v>6862.8489442880737</v>
      </c>
      <c r="D27" s="6">
        <v>2.8930471944620102</v>
      </c>
      <c r="E27" s="17">
        <v>4.0827992353303644E-3</v>
      </c>
      <c r="F27" s="6">
        <v>6351.3963275502174</v>
      </c>
      <c r="G27" s="6">
        <v>33357.69544102814</v>
      </c>
      <c r="H27" s="6">
        <v>6351.3963275502174</v>
      </c>
      <c r="I27" s="6">
        <v>33357.69544102814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325"/>
  <sheetViews>
    <sheetView topLeftCell="A3" workbookViewId="0">
      <selection activeCell="H33" sqref="H33"/>
    </sheetView>
  </sheetViews>
  <sheetFormatPr defaultRowHeight="14.25"/>
  <cols>
    <col min="1" max="1" width="13.875" customWidth="1"/>
    <col min="2" max="2" width="21.875" bestFit="1" customWidth="1"/>
    <col min="3" max="3" width="12.5" bestFit="1" customWidth="1"/>
    <col min="5" max="5" width="11.25" customWidth="1"/>
    <col min="6" max="6" width="21.875" bestFit="1" customWidth="1"/>
    <col min="7" max="7" width="12.5" bestFit="1" customWidth="1"/>
    <col min="9" max="9" width="1" customWidth="1"/>
    <col min="10" max="10" width="13.375" customWidth="1"/>
    <col min="11" max="11" width="20.5" customWidth="1"/>
    <col min="12" max="12" width="12.5" bestFit="1" customWidth="1"/>
  </cols>
  <sheetData>
    <row r="3" spans="1:12">
      <c r="A3" t="s">
        <v>148</v>
      </c>
      <c r="E3" t="s">
        <v>204</v>
      </c>
      <c r="J3" t="s">
        <v>205</v>
      </c>
    </row>
    <row r="4" spans="1:12" ht="15" thickBot="1"/>
    <row r="5" spans="1:12">
      <c r="A5" s="7" t="s">
        <v>149</v>
      </c>
      <c r="B5" s="7" t="s">
        <v>150</v>
      </c>
      <c r="C5" s="7" t="s">
        <v>151</v>
      </c>
      <c r="E5" s="7" t="s">
        <v>149</v>
      </c>
      <c r="F5" s="7" t="s">
        <v>150</v>
      </c>
      <c r="G5" s="7" t="s">
        <v>151</v>
      </c>
      <c r="J5" s="7" t="s">
        <v>149</v>
      </c>
      <c r="K5" s="7" t="s">
        <v>150</v>
      </c>
      <c r="L5" s="7" t="s">
        <v>151</v>
      </c>
    </row>
    <row r="6" spans="1:12">
      <c r="A6" s="5">
        <v>1</v>
      </c>
      <c r="B6" s="5">
        <v>748982.37052333914</v>
      </c>
      <c r="C6" s="5">
        <v>-90149.750523339142</v>
      </c>
      <c r="E6" s="5">
        <v>112</v>
      </c>
      <c r="F6" s="5">
        <v>584637.78361062135</v>
      </c>
      <c r="G6" s="5">
        <v>128973.37638937868</v>
      </c>
      <c r="J6" s="5">
        <v>45</v>
      </c>
      <c r="K6" s="5">
        <v>739191.30362150562</v>
      </c>
      <c r="L6" s="5">
        <v>-143723.70362150564</v>
      </c>
    </row>
    <row r="7" spans="1:12">
      <c r="A7" s="5">
        <v>2</v>
      </c>
      <c r="B7" s="5">
        <v>715714.71686693642</v>
      </c>
      <c r="C7" s="5">
        <v>-81278.716866936418</v>
      </c>
      <c r="E7" s="5">
        <v>104</v>
      </c>
      <c r="F7" s="5">
        <v>503879.70850344258</v>
      </c>
      <c r="G7" s="5">
        <v>121634.33149655745</v>
      </c>
      <c r="J7" s="5">
        <v>67</v>
      </c>
      <c r="K7" s="5">
        <v>819475.75012004108</v>
      </c>
      <c r="L7" s="5">
        <v>-134096.67012004112</v>
      </c>
    </row>
    <row r="8" spans="1:12">
      <c r="A8" s="5">
        <v>3</v>
      </c>
      <c r="B8" s="5">
        <v>757784.01010359649</v>
      </c>
      <c r="C8" s="5">
        <v>-79061.950103596435</v>
      </c>
      <c r="E8" s="5">
        <v>202</v>
      </c>
      <c r="F8" s="5">
        <v>685374.89289873245</v>
      </c>
      <c r="G8" s="5">
        <v>102340.61710126756</v>
      </c>
      <c r="J8" s="5">
        <v>33</v>
      </c>
      <c r="K8" s="5">
        <v>771797.39934513066</v>
      </c>
      <c r="L8" s="5">
        <v>-129932.36934513063</v>
      </c>
    </row>
    <row r="9" spans="1:12">
      <c r="A9" s="5">
        <v>4</v>
      </c>
      <c r="B9" s="5">
        <v>764362.48918372521</v>
      </c>
      <c r="C9" s="5">
        <v>-105442.18918372516</v>
      </c>
      <c r="E9" s="5">
        <v>8</v>
      </c>
      <c r="F9" s="5">
        <v>749188.8758577588</v>
      </c>
      <c r="G9" s="5">
        <v>100975.38414224121</v>
      </c>
      <c r="J9" s="5">
        <v>90</v>
      </c>
      <c r="K9" s="5">
        <v>755698.33719512692</v>
      </c>
      <c r="L9" s="5">
        <v>-128526.4371951269</v>
      </c>
    </row>
    <row r="10" spans="1:12">
      <c r="A10" s="5">
        <v>5</v>
      </c>
      <c r="B10" s="5">
        <v>752091.49902621447</v>
      </c>
      <c r="C10" s="5">
        <v>-10750.059026214527</v>
      </c>
      <c r="E10" s="5">
        <v>75</v>
      </c>
      <c r="F10" s="5">
        <v>688312.37610232679</v>
      </c>
      <c r="G10" s="5">
        <v>99775.303897673264</v>
      </c>
      <c r="J10" s="5">
        <v>137</v>
      </c>
      <c r="K10" s="5">
        <v>756902.4682610007</v>
      </c>
      <c r="L10" s="5">
        <v>-123264.43826100067</v>
      </c>
    </row>
    <row r="11" spans="1:12">
      <c r="A11" s="5">
        <v>6</v>
      </c>
      <c r="B11" s="5">
        <v>787820.76285121276</v>
      </c>
      <c r="C11" s="5">
        <v>-25985.422851212788</v>
      </c>
      <c r="E11" s="5">
        <v>298</v>
      </c>
      <c r="F11" s="5">
        <v>666446.03541778703</v>
      </c>
      <c r="G11" s="5">
        <v>96716.414582212921</v>
      </c>
      <c r="J11" s="5">
        <v>306</v>
      </c>
      <c r="K11" s="5">
        <v>657852.16667520825</v>
      </c>
      <c r="L11" s="5">
        <v>-119476.16667520825</v>
      </c>
    </row>
    <row r="12" spans="1:12">
      <c r="A12" s="5">
        <v>7</v>
      </c>
      <c r="B12" s="5">
        <v>793658.57446289412</v>
      </c>
      <c r="C12" s="5">
        <v>12956.96553710592</v>
      </c>
      <c r="E12" s="5">
        <v>187</v>
      </c>
      <c r="F12" s="5">
        <v>674749.24223394319</v>
      </c>
      <c r="G12" s="5">
        <v>91157.707766056759</v>
      </c>
      <c r="J12" s="5">
        <v>53</v>
      </c>
      <c r="K12" s="5">
        <v>576138.29483946657</v>
      </c>
      <c r="L12" s="5">
        <v>-112604.04483946657</v>
      </c>
    </row>
    <row r="13" spans="1:12">
      <c r="A13" s="5">
        <v>8</v>
      </c>
      <c r="B13" s="5">
        <v>749188.8758577588</v>
      </c>
      <c r="C13" s="5">
        <v>100975.38414224121</v>
      </c>
      <c r="E13" s="5">
        <v>125</v>
      </c>
      <c r="F13" s="5">
        <v>824942.9961256705</v>
      </c>
      <c r="G13" s="5">
        <v>89601.173874329543</v>
      </c>
      <c r="J13" s="5">
        <v>4</v>
      </c>
      <c r="K13" s="5">
        <v>764362.48918372521</v>
      </c>
      <c r="L13" s="5">
        <v>-105442.18918372516</v>
      </c>
    </row>
    <row r="14" spans="1:12">
      <c r="A14" s="5">
        <v>9</v>
      </c>
      <c r="B14" s="5">
        <v>841864.06336606899</v>
      </c>
      <c r="C14" s="5">
        <v>88717.636633930961</v>
      </c>
      <c r="E14" s="5">
        <v>9</v>
      </c>
      <c r="F14" s="5">
        <v>841864.06336606899</v>
      </c>
      <c r="G14" s="5">
        <v>88717.636633930961</v>
      </c>
      <c r="J14" s="5">
        <v>21</v>
      </c>
      <c r="K14" s="5">
        <v>517920.94894358469</v>
      </c>
      <c r="L14" s="5">
        <v>-102199.12894358468</v>
      </c>
    </row>
    <row r="15" spans="1:12">
      <c r="A15" s="5">
        <v>10</v>
      </c>
      <c r="B15" s="5">
        <v>785951.93388917553</v>
      </c>
      <c r="C15" s="5">
        <v>-6940.9938891755883</v>
      </c>
      <c r="E15" s="5">
        <v>254</v>
      </c>
      <c r="F15" s="5">
        <v>711329.33203856472</v>
      </c>
      <c r="G15" s="5">
        <v>87717.60796143522</v>
      </c>
      <c r="J15" s="5">
        <v>26</v>
      </c>
      <c r="K15" s="5">
        <v>899404.69537850656</v>
      </c>
      <c r="L15" s="5">
        <v>-98952.755378506612</v>
      </c>
    </row>
    <row r="16" spans="1:12">
      <c r="A16" s="5">
        <v>11</v>
      </c>
      <c r="B16" s="5">
        <v>738091.21297340642</v>
      </c>
      <c r="C16" s="5">
        <v>-15030.452973406413</v>
      </c>
      <c r="E16" s="5">
        <v>200</v>
      </c>
      <c r="F16" s="5">
        <v>649380.10344687244</v>
      </c>
      <c r="G16" s="5">
        <v>86406.536553127575</v>
      </c>
      <c r="J16" s="5">
        <v>196</v>
      </c>
      <c r="K16" s="5">
        <v>547974.61887771415</v>
      </c>
      <c r="L16" s="5">
        <v>-98509.558877714153</v>
      </c>
    </row>
    <row r="17" spans="1:12">
      <c r="A17" s="5">
        <v>12</v>
      </c>
      <c r="B17" s="5">
        <v>861412.2100724004</v>
      </c>
      <c r="C17" s="5">
        <v>49379.729927599546</v>
      </c>
      <c r="E17" s="5">
        <v>43</v>
      </c>
      <c r="F17" s="5">
        <v>573250.13771750964</v>
      </c>
      <c r="G17" s="5">
        <v>84179.042282490409</v>
      </c>
      <c r="J17" s="5">
        <v>1</v>
      </c>
      <c r="K17" s="5">
        <v>748982.37052333914</v>
      </c>
      <c r="L17" s="5">
        <v>-90149.750523339142</v>
      </c>
    </row>
    <row r="18" spans="1:12">
      <c r="A18" s="5">
        <v>13</v>
      </c>
      <c r="B18" s="5">
        <v>896252.9699325749</v>
      </c>
      <c r="C18" s="5">
        <v>25915.630067425082</v>
      </c>
      <c r="E18" s="5">
        <v>178</v>
      </c>
      <c r="F18" s="5">
        <v>699442.30281067442</v>
      </c>
      <c r="G18" s="5">
        <v>84139.697189325583</v>
      </c>
      <c r="J18" s="5">
        <v>277</v>
      </c>
      <c r="K18" s="5">
        <v>762864.56879828335</v>
      </c>
      <c r="L18" s="5">
        <v>-89788.22879828338</v>
      </c>
    </row>
    <row r="19" spans="1:12">
      <c r="A19" s="5">
        <v>14</v>
      </c>
      <c r="B19" s="5">
        <v>783801.23697917955</v>
      </c>
      <c r="C19" s="5">
        <v>-57194.956979179522</v>
      </c>
      <c r="E19" s="5">
        <v>107</v>
      </c>
      <c r="F19" s="5">
        <v>711031.70722380187</v>
      </c>
      <c r="G19" s="5">
        <v>84122.132776198094</v>
      </c>
      <c r="J19" s="5">
        <v>170</v>
      </c>
      <c r="K19" s="5">
        <v>677413.13088325143</v>
      </c>
      <c r="L19" s="5">
        <v>-83775.990883251419</v>
      </c>
    </row>
    <row r="20" spans="1:12">
      <c r="A20" s="5">
        <v>15</v>
      </c>
      <c r="B20" s="5">
        <v>743504.26640230091</v>
      </c>
      <c r="C20" s="5">
        <v>2996.8235976990545</v>
      </c>
      <c r="E20" s="5">
        <v>206</v>
      </c>
      <c r="F20" s="5">
        <v>711456.69895685778</v>
      </c>
      <c r="G20" s="5">
        <v>84007.771043142187</v>
      </c>
      <c r="J20" s="5">
        <v>29</v>
      </c>
      <c r="K20" s="5">
        <v>595339.55566758022</v>
      </c>
      <c r="L20" s="5">
        <v>-83495.145667580247</v>
      </c>
    </row>
    <row r="21" spans="1:12">
      <c r="A21" s="5">
        <v>16</v>
      </c>
      <c r="B21" s="5">
        <v>846275.15714281378</v>
      </c>
      <c r="C21" s="5">
        <v>-12258.137142813765</v>
      </c>
      <c r="E21" s="5">
        <v>83</v>
      </c>
      <c r="F21" s="5">
        <v>644968.34074652952</v>
      </c>
      <c r="G21" s="5">
        <v>82273.519253470469</v>
      </c>
      <c r="J21" s="5">
        <v>2</v>
      </c>
      <c r="K21" s="5">
        <v>715714.71686693642</v>
      </c>
      <c r="L21" s="5">
        <v>-81278.716866936418</v>
      </c>
    </row>
    <row r="22" spans="1:12">
      <c r="A22" s="5">
        <v>17</v>
      </c>
      <c r="B22" s="5">
        <v>706243.35968279559</v>
      </c>
      <c r="C22" s="5">
        <v>-40090.839682795573</v>
      </c>
      <c r="E22" s="5">
        <v>257</v>
      </c>
      <c r="F22" s="5">
        <v>759124.16563947196</v>
      </c>
      <c r="G22" s="5">
        <v>80983.954360528034</v>
      </c>
      <c r="J22" s="5">
        <v>34</v>
      </c>
      <c r="K22" s="5">
        <v>878785.85412451811</v>
      </c>
      <c r="L22" s="5">
        <v>-79308.094124518102</v>
      </c>
    </row>
    <row r="23" spans="1:12">
      <c r="A23" s="5">
        <v>18</v>
      </c>
      <c r="B23" s="5">
        <v>615418.41951381497</v>
      </c>
      <c r="C23" s="5">
        <v>-42263.229513815022</v>
      </c>
      <c r="E23" s="5">
        <v>291</v>
      </c>
      <c r="F23" s="5">
        <v>734040.97336393304</v>
      </c>
      <c r="G23" s="5">
        <v>79275.736636066926</v>
      </c>
      <c r="J23" s="5">
        <v>3</v>
      </c>
      <c r="K23" s="5">
        <v>757784.01010359649</v>
      </c>
      <c r="L23" s="5">
        <v>-79061.950103596435</v>
      </c>
    </row>
    <row r="24" spans="1:12">
      <c r="A24" s="5">
        <v>19</v>
      </c>
      <c r="B24" s="5">
        <v>689640.16882922978</v>
      </c>
      <c r="C24" s="5">
        <v>-23066.968829229823</v>
      </c>
      <c r="E24" s="5">
        <v>69</v>
      </c>
      <c r="F24" s="5">
        <v>583506.49622256949</v>
      </c>
      <c r="G24" s="5">
        <v>78420.643777430523</v>
      </c>
      <c r="J24" s="5">
        <v>210</v>
      </c>
      <c r="K24" s="5">
        <v>770128.74176354043</v>
      </c>
      <c r="L24" s="5">
        <v>-78840.551763540483</v>
      </c>
    </row>
    <row r="25" spans="1:12">
      <c r="A25" s="5">
        <v>20</v>
      </c>
      <c r="B25" s="5">
        <v>612706.83369731135</v>
      </c>
      <c r="C25" s="5">
        <v>-21086.883697311394</v>
      </c>
      <c r="E25" s="5">
        <v>304</v>
      </c>
      <c r="F25" s="5">
        <v>703179.06585455546</v>
      </c>
      <c r="G25" s="5">
        <v>77401.884145444492</v>
      </c>
      <c r="J25" s="5">
        <v>300</v>
      </c>
      <c r="K25" s="5">
        <v>479873.51627449039</v>
      </c>
      <c r="L25" s="5">
        <v>-78290.936274490377</v>
      </c>
    </row>
    <row r="26" spans="1:12">
      <c r="A26" s="5">
        <v>21</v>
      </c>
      <c r="B26" s="5">
        <v>517920.94894358469</v>
      </c>
      <c r="C26" s="5">
        <v>-102199.12894358468</v>
      </c>
      <c r="E26" s="5">
        <v>162</v>
      </c>
      <c r="F26" s="5">
        <v>701523.25496888452</v>
      </c>
      <c r="G26" s="5">
        <v>76775.625031115487</v>
      </c>
      <c r="J26" s="5">
        <v>134</v>
      </c>
      <c r="K26" s="5">
        <v>476968.50211164076</v>
      </c>
      <c r="L26" s="5">
        <v>-76136.852111640736</v>
      </c>
    </row>
    <row r="27" spans="1:12">
      <c r="A27" s="5">
        <v>22</v>
      </c>
      <c r="B27" s="5">
        <v>501868.09998446942</v>
      </c>
      <c r="C27" s="5">
        <v>-9962.9699844694114</v>
      </c>
      <c r="E27" s="5">
        <v>61</v>
      </c>
      <c r="F27" s="5">
        <v>672817.54581360077</v>
      </c>
      <c r="G27" s="5">
        <v>76742.164186399197</v>
      </c>
      <c r="J27" s="5">
        <v>272</v>
      </c>
      <c r="K27" s="5">
        <v>668164.30581391952</v>
      </c>
      <c r="L27" s="5">
        <v>-74821.30581391952</v>
      </c>
    </row>
    <row r="28" spans="1:12">
      <c r="A28" s="5">
        <v>23</v>
      </c>
      <c r="B28" s="5">
        <v>554991.61529607966</v>
      </c>
      <c r="C28" s="5">
        <v>937.78470392036252</v>
      </c>
      <c r="E28" s="5">
        <v>98</v>
      </c>
      <c r="F28" s="5">
        <v>662706.24046593253</v>
      </c>
      <c r="G28" s="5">
        <v>72803.159534067498</v>
      </c>
      <c r="J28" s="5">
        <v>281</v>
      </c>
      <c r="K28" s="5">
        <v>595858.43420866947</v>
      </c>
      <c r="L28" s="5">
        <v>-70958.864208669518</v>
      </c>
    </row>
    <row r="29" spans="1:12">
      <c r="A29" s="5">
        <v>24</v>
      </c>
      <c r="B29" s="5">
        <v>548186.18220324372</v>
      </c>
      <c r="C29" s="5">
        <v>17624.807796756271</v>
      </c>
      <c r="E29" s="5">
        <v>160</v>
      </c>
      <c r="F29" s="5">
        <v>549642.86211365578</v>
      </c>
      <c r="G29" s="5">
        <v>71330.16788634425</v>
      </c>
      <c r="J29" s="5">
        <v>310</v>
      </c>
      <c r="K29" s="5">
        <v>605959.3003131306</v>
      </c>
      <c r="L29" s="5">
        <v>-69434.460313130636</v>
      </c>
    </row>
    <row r="30" spans="1:12">
      <c r="A30" s="5">
        <v>25</v>
      </c>
      <c r="B30" s="5">
        <v>813272.27354235668</v>
      </c>
      <c r="C30" s="5">
        <v>-1501.1335423566634</v>
      </c>
      <c r="E30" s="5">
        <v>234</v>
      </c>
      <c r="F30" s="5">
        <v>652107.87708303554</v>
      </c>
      <c r="G30" s="5">
        <v>71197.232916964451</v>
      </c>
      <c r="J30" s="5">
        <v>121</v>
      </c>
      <c r="K30" s="5">
        <v>578595.4176372654</v>
      </c>
      <c r="L30" s="5">
        <v>-69110.607637265406</v>
      </c>
    </row>
    <row r="31" spans="1:12">
      <c r="A31" s="5">
        <v>26</v>
      </c>
      <c r="B31" s="5">
        <v>899404.69537850656</v>
      </c>
      <c r="C31" s="5">
        <v>-98952.755378506612</v>
      </c>
      <c r="E31" s="5">
        <v>101</v>
      </c>
      <c r="F31" s="5">
        <v>564037.67309457471</v>
      </c>
      <c r="G31" s="5">
        <v>71143.676905425265</v>
      </c>
      <c r="J31" s="5">
        <v>237</v>
      </c>
      <c r="K31" s="5">
        <v>790006.40204921365</v>
      </c>
      <c r="L31" s="5">
        <v>-68927.052049213671</v>
      </c>
    </row>
    <row r="32" spans="1:12">
      <c r="A32" s="5">
        <v>27</v>
      </c>
      <c r="B32" s="5">
        <v>776525.57529354666</v>
      </c>
      <c r="C32" s="5">
        <v>7147.2447064532898</v>
      </c>
      <c r="E32" s="5">
        <v>118</v>
      </c>
      <c r="F32" s="5">
        <v>750479.93779392797</v>
      </c>
      <c r="G32" s="5">
        <v>70039.102206072072</v>
      </c>
      <c r="J32" s="5">
        <v>207</v>
      </c>
      <c r="K32" s="5">
        <v>737289.44980931736</v>
      </c>
      <c r="L32" s="5">
        <v>-65420.859809317393</v>
      </c>
    </row>
    <row r="33" spans="1:12">
      <c r="A33" s="5">
        <v>28</v>
      </c>
      <c r="B33" s="5">
        <v>706397.52724305482</v>
      </c>
      <c r="C33" s="5">
        <v>-4755.5572430548491</v>
      </c>
      <c r="E33" s="5">
        <v>219</v>
      </c>
      <c r="F33" s="5">
        <v>606088.27400414762</v>
      </c>
      <c r="G33" s="5">
        <v>67260.285995852435</v>
      </c>
      <c r="J33" s="5">
        <v>32</v>
      </c>
      <c r="K33" s="5">
        <v>491678.22893577826</v>
      </c>
      <c r="L33" s="5">
        <v>-63760.848935778253</v>
      </c>
    </row>
    <row r="34" spans="1:12">
      <c r="A34" s="5">
        <v>29</v>
      </c>
      <c r="B34" s="5">
        <v>595339.55566758022</v>
      </c>
      <c r="C34" s="5">
        <v>-83495.145667580247</v>
      </c>
      <c r="E34" s="5">
        <v>180</v>
      </c>
      <c r="F34" s="5">
        <v>833368.57192306581</v>
      </c>
      <c r="G34" s="5">
        <v>64662.468076934223</v>
      </c>
      <c r="J34" s="5">
        <v>229</v>
      </c>
      <c r="K34" s="5">
        <v>629923.00438736659</v>
      </c>
      <c r="L34" s="5">
        <v>-58959.69438736653</v>
      </c>
    </row>
    <row r="35" spans="1:12">
      <c r="A35" s="5">
        <v>30</v>
      </c>
      <c r="B35" s="5">
        <v>528505.74285452487</v>
      </c>
      <c r="C35" s="5">
        <v>8878.0471454751678</v>
      </c>
      <c r="E35" s="5">
        <v>95</v>
      </c>
      <c r="F35" s="5">
        <v>773696.93786816311</v>
      </c>
      <c r="G35" s="5">
        <v>64553.382131836843</v>
      </c>
      <c r="J35" s="5">
        <v>163</v>
      </c>
      <c r="K35" s="5">
        <v>735223.87013704947</v>
      </c>
      <c r="L35" s="5">
        <v>-58127.160137049505</v>
      </c>
    </row>
    <row r="36" spans="1:12">
      <c r="A36" s="5">
        <v>31</v>
      </c>
      <c r="B36" s="5">
        <v>516250.03955719015</v>
      </c>
      <c r="C36" s="5">
        <v>-16077.019557190128</v>
      </c>
      <c r="E36" s="5">
        <v>230</v>
      </c>
      <c r="F36" s="5">
        <v>809133.68555899512</v>
      </c>
      <c r="G36" s="5">
        <v>61803.714441004908</v>
      </c>
      <c r="J36" s="5">
        <v>193</v>
      </c>
      <c r="K36" s="5">
        <v>701265.53491498984</v>
      </c>
      <c r="L36" s="5">
        <v>-57836.684914989863</v>
      </c>
    </row>
    <row r="37" spans="1:12">
      <c r="A37" s="5">
        <v>32</v>
      </c>
      <c r="B37" s="5">
        <v>491678.22893577826</v>
      </c>
      <c r="C37" s="5">
        <v>-63760.848935778253</v>
      </c>
      <c r="E37" s="5">
        <v>114</v>
      </c>
      <c r="F37" s="5">
        <v>812824.09084540815</v>
      </c>
      <c r="G37" s="5">
        <v>60555.929154591868</v>
      </c>
      <c r="J37" s="5">
        <v>14</v>
      </c>
      <c r="K37" s="5">
        <v>783801.23697917955</v>
      </c>
      <c r="L37" s="5">
        <v>-57194.956979179522</v>
      </c>
    </row>
    <row r="38" spans="1:12">
      <c r="A38" s="5">
        <v>33</v>
      </c>
      <c r="B38" s="5">
        <v>771797.39934513066</v>
      </c>
      <c r="C38" s="5">
        <v>-129932.36934513063</v>
      </c>
      <c r="E38" s="5">
        <v>270</v>
      </c>
      <c r="F38" s="5">
        <v>679233.95276070677</v>
      </c>
      <c r="G38" s="5">
        <v>60140.607239293284</v>
      </c>
      <c r="J38" s="5">
        <v>203</v>
      </c>
      <c r="K38" s="5">
        <v>662034.40643975185</v>
      </c>
      <c r="L38" s="5">
        <v>-54949.48643975181</v>
      </c>
    </row>
    <row r="39" spans="1:12">
      <c r="A39" s="5">
        <v>34</v>
      </c>
      <c r="B39" s="5">
        <v>878785.85412451811</v>
      </c>
      <c r="C39" s="5">
        <v>-79308.094124518102</v>
      </c>
      <c r="E39" s="5">
        <v>82</v>
      </c>
      <c r="F39" s="5">
        <v>623822.47476251563</v>
      </c>
      <c r="G39" s="5">
        <v>58385.535237484379</v>
      </c>
      <c r="J39" s="5">
        <v>133</v>
      </c>
      <c r="K39" s="5">
        <v>582051.00452649093</v>
      </c>
      <c r="L39" s="5">
        <v>-54750.874526490923</v>
      </c>
    </row>
    <row r="40" spans="1:12">
      <c r="A40" s="5">
        <v>35</v>
      </c>
      <c r="B40" s="5">
        <v>805949.58818054618</v>
      </c>
      <c r="C40" s="5">
        <v>-6997.4181805461412</v>
      </c>
      <c r="E40" s="5">
        <v>139</v>
      </c>
      <c r="F40" s="5">
        <v>702207.65296107985</v>
      </c>
      <c r="G40" s="5">
        <v>56619.987038920168</v>
      </c>
      <c r="J40" s="5">
        <v>119</v>
      </c>
      <c r="K40" s="5">
        <v>737343.57457491464</v>
      </c>
      <c r="L40" s="5">
        <v>-53126.254574914696</v>
      </c>
    </row>
    <row r="41" spans="1:12">
      <c r="A41" s="5">
        <v>36</v>
      </c>
      <c r="B41" s="5">
        <v>799661.9674639696</v>
      </c>
      <c r="C41" s="5">
        <v>1317.8125360304257</v>
      </c>
      <c r="E41" s="5">
        <v>127</v>
      </c>
      <c r="F41" s="5">
        <v>785563.87502050668</v>
      </c>
      <c r="G41" s="5">
        <v>56594.044979493367</v>
      </c>
      <c r="J41" s="5">
        <v>115</v>
      </c>
      <c r="K41" s="5">
        <v>749455.75146462163</v>
      </c>
      <c r="L41" s="5">
        <v>-52167.851464621606</v>
      </c>
    </row>
    <row r="42" spans="1:12">
      <c r="A42" s="5">
        <v>37</v>
      </c>
      <c r="B42" s="5">
        <v>782447.88125609048</v>
      </c>
      <c r="C42" s="5">
        <v>38146.048743909574</v>
      </c>
      <c r="E42" s="5">
        <v>260</v>
      </c>
      <c r="F42" s="5">
        <v>720504.39928969822</v>
      </c>
      <c r="G42" s="5">
        <v>55605.920710301725</v>
      </c>
      <c r="J42" s="5">
        <v>208</v>
      </c>
      <c r="K42" s="5">
        <v>727666.0494296049</v>
      </c>
      <c r="L42" s="5">
        <v>-51748.419429604895</v>
      </c>
    </row>
    <row r="43" spans="1:12">
      <c r="A43" s="5">
        <v>38</v>
      </c>
      <c r="B43" s="5">
        <v>738744.69418485416</v>
      </c>
      <c r="C43" s="5">
        <v>-20414.164184854133</v>
      </c>
      <c r="E43" s="5">
        <v>52</v>
      </c>
      <c r="F43" s="5">
        <v>718453.01789865922</v>
      </c>
      <c r="G43" s="5">
        <v>55362.122101340792</v>
      </c>
      <c r="J43" s="5">
        <v>77</v>
      </c>
      <c r="K43" s="5">
        <v>695337.42318438494</v>
      </c>
      <c r="L43" s="5">
        <v>-51679.953184384969</v>
      </c>
    </row>
    <row r="44" spans="1:12">
      <c r="A44" s="5">
        <v>39</v>
      </c>
      <c r="B44" s="5">
        <v>752362.18018798577</v>
      </c>
      <c r="C44" s="5">
        <v>-15728.780187985743</v>
      </c>
      <c r="E44" s="5">
        <v>233</v>
      </c>
      <c r="F44" s="5">
        <v>604101.98412050633</v>
      </c>
      <c r="G44" s="5">
        <v>53970.155879493686</v>
      </c>
      <c r="J44" s="5">
        <v>269</v>
      </c>
      <c r="K44" s="5">
        <v>711164.78208330378</v>
      </c>
      <c r="L44" s="5">
        <v>-50530.792083303793</v>
      </c>
    </row>
    <row r="45" spans="1:12">
      <c r="A45" s="5">
        <v>40</v>
      </c>
      <c r="B45" s="5">
        <v>796891.71897730068</v>
      </c>
      <c r="C45" s="5">
        <v>31732.131022699294</v>
      </c>
      <c r="E45" s="5">
        <v>228</v>
      </c>
      <c r="F45" s="5">
        <v>475943.54902492039</v>
      </c>
      <c r="G45" s="5">
        <v>53655.390975079557</v>
      </c>
      <c r="J45" s="5">
        <v>80</v>
      </c>
      <c r="K45" s="5">
        <v>685089.70066935779</v>
      </c>
      <c r="L45" s="5">
        <v>-48528.360669357819</v>
      </c>
    </row>
    <row r="46" spans="1:12">
      <c r="A46" s="5">
        <v>41</v>
      </c>
      <c r="B46" s="5">
        <v>545278.13362974382</v>
      </c>
      <c r="C46" s="5">
        <v>46917.716370256152</v>
      </c>
      <c r="E46" s="5">
        <v>268</v>
      </c>
      <c r="F46" s="5">
        <v>711245.53899432695</v>
      </c>
      <c r="G46" s="5">
        <v>51082.771005673101</v>
      </c>
      <c r="J46" s="5">
        <v>161</v>
      </c>
      <c r="K46" s="5">
        <v>698909.38793023746</v>
      </c>
      <c r="L46" s="5">
        <v>-48429.327930237399</v>
      </c>
    </row>
    <row r="47" spans="1:12">
      <c r="A47" s="5">
        <v>42</v>
      </c>
      <c r="B47" s="5">
        <v>542581.75323663536</v>
      </c>
      <c r="C47" s="5">
        <v>-9937.2932366353925</v>
      </c>
      <c r="E47" s="5">
        <v>71</v>
      </c>
      <c r="F47" s="5">
        <v>554018.93606644543</v>
      </c>
      <c r="G47" s="5">
        <v>51004.933933554566</v>
      </c>
      <c r="J47" s="5">
        <v>74</v>
      </c>
      <c r="K47" s="5">
        <v>678240.17214786378</v>
      </c>
      <c r="L47" s="5">
        <v>-47410.232147863833</v>
      </c>
    </row>
    <row r="48" spans="1:12">
      <c r="A48" s="5">
        <v>43</v>
      </c>
      <c r="B48" s="5">
        <v>573250.13771750964</v>
      </c>
      <c r="C48" s="5">
        <v>84179.042282490409</v>
      </c>
      <c r="E48" s="5">
        <v>276</v>
      </c>
      <c r="F48" s="5">
        <v>635934.58696602564</v>
      </c>
      <c r="G48" s="5">
        <v>50803.283033974352</v>
      </c>
      <c r="J48" s="5">
        <v>123</v>
      </c>
      <c r="K48" s="5">
        <v>604361.94498852233</v>
      </c>
      <c r="L48" s="5">
        <v>-46874.68498852232</v>
      </c>
    </row>
    <row r="49" spans="1:12">
      <c r="A49" s="5">
        <v>44</v>
      </c>
      <c r="B49" s="5">
        <v>587042.65051210253</v>
      </c>
      <c r="C49" s="5">
        <v>18135.349487897474</v>
      </c>
      <c r="E49" s="5">
        <v>151</v>
      </c>
      <c r="F49" s="5">
        <v>646506.90470711491</v>
      </c>
      <c r="G49" s="5">
        <v>50237.245292885113</v>
      </c>
      <c r="J49" s="5">
        <v>293</v>
      </c>
      <c r="K49" s="5">
        <v>593055.81955769239</v>
      </c>
      <c r="L49" s="5">
        <v>-46832.119557692437</v>
      </c>
    </row>
    <row r="50" spans="1:12">
      <c r="A50" s="5">
        <v>45</v>
      </c>
      <c r="B50" s="5">
        <v>739191.30362150562</v>
      </c>
      <c r="C50" s="5">
        <v>-143723.70362150564</v>
      </c>
      <c r="E50" s="5">
        <v>12</v>
      </c>
      <c r="F50" s="5">
        <v>861412.2100724004</v>
      </c>
      <c r="G50" s="5">
        <v>49379.729927599546</v>
      </c>
      <c r="J50" s="5">
        <v>56</v>
      </c>
      <c r="K50" s="5">
        <v>533797.69730883965</v>
      </c>
      <c r="L50" s="5">
        <v>-46332.787308839674</v>
      </c>
    </row>
    <row r="51" spans="1:12">
      <c r="A51" s="5">
        <v>46</v>
      </c>
      <c r="B51" s="5">
        <v>617379.1187454171</v>
      </c>
      <c r="C51" s="5">
        <v>-17775.718745417078</v>
      </c>
      <c r="E51" s="5">
        <v>263</v>
      </c>
      <c r="F51" s="5">
        <v>629214.08568015485</v>
      </c>
      <c r="G51" s="5">
        <v>48426.564319845173</v>
      </c>
      <c r="J51" s="5">
        <v>320</v>
      </c>
      <c r="K51" s="5">
        <v>605173.36022321135</v>
      </c>
      <c r="L51" s="5">
        <v>-45512.520223211381</v>
      </c>
    </row>
    <row r="52" spans="1:12">
      <c r="A52" s="5">
        <v>47</v>
      </c>
      <c r="B52" s="5">
        <v>588575.7411312866</v>
      </c>
      <c r="C52" s="5">
        <v>26224.348868713365</v>
      </c>
      <c r="E52" s="5">
        <v>41</v>
      </c>
      <c r="F52" s="5">
        <v>545278.13362974382</v>
      </c>
      <c r="G52" s="5">
        <v>46917.716370256152</v>
      </c>
      <c r="J52" s="5">
        <v>224</v>
      </c>
      <c r="K52" s="5">
        <v>768993.76984593237</v>
      </c>
      <c r="L52" s="5">
        <v>-45462.36984593235</v>
      </c>
    </row>
    <row r="53" spans="1:12">
      <c r="A53" s="5">
        <v>48</v>
      </c>
      <c r="B53" s="5">
        <v>585552.70293485781</v>
      </c>
      <c r="C53" s="5">
        <v>-186.97293485782575</v>
      </c>
      <c r="E53" s="5">
        <v>94</v>
      </c>
      <c r="F53" s="5">
        <v>706908.43303481338</v>
      </c>
      <c r="G53" s="5">
        <v>46565.116965186666</v>
      </c>
      <c r="J53" s="5">
        <v>183</v>
      </c>
      <c r="K53" s="5">
        <v>806219.69672781532</v>
      </c>
      <c r="L53" s="5">
        <v>-45142.616727815359</v>
      </c>
    </row>
    <row r="54" spans="1:12">
      <c r="A54" s="5">
        <v>49</v>
      </c>
      <c r="B54" s="5">
        <v>622419.10396657011</v>
      </c>
      <c r="C54" s="5">
        <v>392.63603342988063</v>
      </c>
      <c r="E54" s="5">
        <v>141</v>
      </c>
      <c r="F54" s="5">
        <v>669914.80138995673</v>
      </c>
      <c r="G54" s="5">
        <v>45975.728610043298</v>
      </c>
      <c r="J54" s="5">
        <v>18</v>
      </c>
      <c r="K54" s="5">
        <v>615418.41951381497</v>
      </c>
      <c r="L54" s="5">
        <v>-42263.229513815022</v>
      </c>
    </row>
    <row r="55" spans="1:12">
      <c r="A55" s="5">
        <v>50</v>
      </c>
      <c r="B55" s="5">
        <v>633382.48645690235</v>
      </c>
      <c r="C55" s="5">
        <v>-30084.9164569024</v>
      </c>
      <c r="E55" s="5">
        <v>152</v>
      </c>
      <c r="F55" s="5">
        <v>679939.10763097997</v>
      </c>
      <c r="G55" s="5">
        <v>45908.882369020022</v>
      </c>
      <c r="J55" s="5">
        <v>76</v>
      </c>
      <c r="K55" s="5">
        <v>722288.95768840879</v>
      </c>
      <c r="L55" s="5">
        <v>-41448.597688408801</v>
      </c>
    </row>
    <row r="56" spans="1:12">
      <c r="A56" s="5">
        <v>51</v>
      </c>
      <c r="B56" s="5">
        <v>633215.77151678246</v>
      </c>
      <c r="C56" s="5">
        <v>-7542.9115167824784</v>
      </c>
      <c r="E56" s="5">
        <v>305</v>
      </c>
      <c r="F56" s="5">
        <v>682668.08510734921</v>
      </c>
      <c r="G56" s="5">
        <v>45289.394892650773</v>
      </c>
      <c r="J56" s="5">
        <v>308</v>
      </c>
      <c r="K56" s="5">
        <v>692516.80312187271</v>
      </c>
      <c r="L56" s="5">
        <v>-41352.623121872661</v>
      </c>
    </row>
    <row r="57" spans="1:12">
      <c r="A57" s="5">
        <v>52</v>
      </c>
      <c r="B57" s="5">
        <v>718453.01789865922</v>
      </c>
      <c r="C57" s="5">
        <v>55362.122101340792</v>
      </c>
      <c r="E57" s="5">
        <v>64</v>
      </c>
      <c r="F57" s="5">
        <v>717812.03324341809</v>
      </c>
      <c r="G57" s="5">
        <v>44048.156756581855</v>
      </c>
      <c r="J57" s="5">
        <v>58</v>
      </c>
      <c r="K57" s="5">
        <v>541283.60199186415</v>
      </c>
      <c r="L57" s="5">
        <v>-40985.121991864173</v>
      </c>
    </row>
    <row r="58" spans="1:12">
      <c r="A58" s="5">
        <v>53</v>
      </c>
      <c r="B58" s="5">
        <v>576138.29483946657</v>
      </c>
      <c r="C58" s="5">
        <v>-112604.04483946657</v>
      </c>
      <c r="E58" s="5">
        <v>197</v>
      </c>
      <c r="F58" s="5">
        <v>647524.07891033858</v>
      </c>
      <c r="G58" s="5">
        <v>43923.351089661475</v>
      </c>
      <c r="J58" s="5">
        <v>231</v>
      </c>
      <c r="K58" s="5">
        <v>637906.38559990155</v>
      </c>
      <c r="L58" s="5">
        <v>-40937.115599901532</v>
      </c>
    </row>
    <row r="59" spans="1:12">
      <c r="A59" s="5">
        <v>54</v>
      </c>
      <c r="B59" s="5">
        <v>705009.13646885264</v>
      </c>
      <c r="C59" s="5">
        <v>41668.613531147363</v>
      </c>
      <c r="E59" s="5">
        <v>186</v>
      </c>
      <c r="F59" s="5">
        <v>635661.53575496376</v>
      </c>
      <c r="G59" s="5">
        <v>42649.634245036286</v>
      </c>
      <c r="J59" s="5">
        <v>145</v>
      </c>
      <c r="K59" s="5">
        <v>618591.05999030604</v>
      </c>
      <c r="L59" s="5">
        <v>-40858.489990306087</v>
      </c>
    </row>
    <row r="60" spans="1:12">
      <c r="A60" s="5">
        <v>55</v>
      </c>
      <c r="B60" s="5">
        <v>682479.95586141839</v>
      </c>
      <c r="C60" s="5">
        <v>38372.544138581608</v>
      </c>
      <c r="E60" s="5">
        <v>232</v>
      </c>
      <c r="F60" s="5">
        <v>605055.96193167404</v>
      </c>
      <c r="G60" s="5">
        <v>42456.888068325934</v>
      </c>
      <c r="J60" s="5">
        <v>17</v>
      </c>
      <c r="K60" s="5">
        <v>706243.35968279559</v>
      </c>
      <c r="L60" s="5">
        <v>-40090.839682795573</v>
      </c>
    </row>
    <row r="61" spans="1:12">
      <c r="A61" s="5">
        <v>56</v>
      </c>
      <c r="B61" s="5">
        <v>533797.69730883965</v>
      </c>
      <c r="C61" s="5">
        <v>-46332.787308839674</v>
      </c>
      <c r="E61" s="5">
        <v>54</v>
      </c>
      <c r="F61" s="5">
        <v>705009.13646885264</v>
      </c>
      <c r="G61" s="5">
        <v>41668.613531147363</v>
      </c>
      <c r="J61" s="5">
        <v>282</v>
      </c>
      <c r="K61" s="5">
        <v>595645.12180704053</v>
      </c>
      <c r="L61" s="5">
        <v>-40087.351807040512</v>
      </c>
    </row>
    <row r="62" spans="1:12">
      <c r="A62" s="5">
        <v>57</v>
      </c>
      <c r="B62" s="5">
        <v>493736.62457981094</v>
      </c>
      <c r="C62" s="5">
        <v>24312.635420189064</v>
      </c>
      <c r="E62" s="5">
        <v>315</v>
      </c>
      <c r="F62" s="5">
        <v>672126.73339248844</v>
      </c>
      <c r="G62" s="5">
        <v>40249.036607511574</v>
      </c>
      <c r="J62" s="5">
        <v>60</v>
      </c>
      <c r="K62" s="5">
        <v>592915.64548416471</v>
      </c>
      <c r="L62" s="5">
        <v>-39159.215484164655</v>
      </c>
    </row>
    <row r="63" spans="1:12">
      <c r="A63" s="5">
        <v>58</v>
      </c>
      <c r="B63" s="5">
        <v>541283.60199186415</v>
      </c>
      <c r="C63" s="5">
        <v>-40985.121991864173</v>
      </c>
      <c r="E63" s="5">
        <v>138</v>
      </c>
      <c r="F63" s="5">
        <v>703478.44992546714</v>
      </c>
      <c r="G63" s="5">
        <v>39870.390074532828</v>
      </c>
      <c r="J63" s="5">
        <v>280</v>
      </c>
      <c r="K63" s="5">
        <v>800136.70914793236</v>
      </c>
      <c r="L63" s="5">
        <v>-39014.289147932315</v>
      </c>
    </row>
    <row r="64" spans="1:12">
      <c r="A64" s="5">
        <v>59</v>
      </c>
      <c r="B64" s="5">
        <v>653034.799826356</v>
      </c>
      <c r="C64" s="5">
        <v>-35743.649826355977</v>
      </c>
      <c r="E64" s="5">
        <v>214</v>
      </c>
      <c r="F64" s="5">
        <v>765810.02614777908</v>
      </c>
      <c r="G64" s="5">
        <v>39165.473852220923</v>
      </c>
      <c r="J64" s="5">
        <v>131</v>
      </c>
      <c r="K64" s="5">
        <v>763568.97095569223</v>
      </c>
      <c r="L64" s="5">
        <v>-38333.690955692204</v>
      </c>
    </row>
    <row r="65" spans="1:12">
      <c r="A65" s="5">
        <v>60</v>
      </c>
      <c r="B65" s="5">
        <v>592915.64548416471</v>
      </c>
      <c r="C65" s="5">
        <v>-39159.215484164655</v>
      </c>
      <c r="E65" s="5">
        <v>55</v>
      </c>
      <c r="F65" s="5">
        <v>682479.95586141839</v>
      </c>
      <c r="G65" s="5">
        <v>38372.544138581608</v>
      </c>
      <c r="J65" s="5">
        <v>250</v>
      </c>
      <c r="K65" s="5">
        <v>680832.39367089421</v>
      </c>
      <c r="L65" s="5">
        <v>-38080.973670894164</v>
      </c>
    </row>
    <row r="66" spans="1:12">
      <c r="A66" s="5">
        <v>61</v>
      </c>
      <c r="B66" s="5">
        <v>672817.54581360077</v>
      </c>
      <c r="C66" s="5">
        <v>76742.164186399197</v>
      </c>
      <c r="E66" s="5">
        <v>264</v>
      </c>
      <c r="F66" s="5">
        <v>598253.56943360087</v>
      </c>
      <c r="G66" s="5">
        <v>38359.660566399107</v>
      </c>
      <c r="J66" s="5">
        <v>198</v>
      </c>
      <c r="K66" s="5">
        <v>611898.09376049659</v>
      </c>
      <c r="L66" s="5">
        <v>-37831.483760496601</v>
      </c>
    </row>
    <row r="67" spans="1:12">
      <c r="A67" s="5">
        <v>62</v>
      </c>
      <c r="B67" s="5">
        <v>582430.08079920278</v>
      </c>
      <c r="C67" s="5">
        <v>33536.399200797197</v>
      </c>
      <c r="E67" s="5">
        <v>37</v>
      </c>
      <c r="F67" s="5">
        <v>782447.88125609048</v>
      </c>
      <c r="G67" s="5">
        <v>38146.048743909574</v>
      </c>
      <c r="J67" s="5">
        <v>256</v>
      </c>
      <c r="K67" s="5">
        <v>649431.71613738849</v>
      </c>
      <c r="L67" s="5">
        <v>-37041.576137388474</v>
      </c>
    </row>
    <row r="68" spans="1:12">
      <c r="A68" s="5">
        <v>63</v>
      </c>
      <c r="B68" s="5">
        <v>591715.73806737526</v>
      </c>
      <c r="C68" s="5">
        <v>-19704.53806737531</v>
      </c>
      <c r="E68" s="5">
        <v>72</v>
      </c>
      <c r="F68" s="5">
        <v>636825.03584753373</v>
      </c>
      <c r="G68" s="5">
        <v>37949.05415246624</v>
      </c>
      <c r="J68" s="5">
        <v>199</v>
      </c>
      <c r="K68" s="5">
        <v>615568.02390670101</v>
      </c>
      <c r="L68" s="5">
        <v>-36618.183906701044</v>
      </c>
    </row>
    <row r="69" spans="1:12">
      <c r="A69" s="5">
        <v>64</v>
      </c>
      <c r="B69" s="5">
        <v>717812.03324341809</v>
      </c>
      <c r="C69" s="5">
        <v>44048.156756581855</v>
      </c>
      <c r="E69" s="5">
        <v>283</v>
      </c>
      <c r="F69" s="5">
        <v>676995.63583245734</v>
      </c>
      <c r="G69" s="5">
        <v>37088.044167542714</v>
      </c>
      <c r="J69" s="5">
        <v>317</v>
      </c>
      <c r="K69" s="5">
        <v>656599.18654060224</v>
      </c>
      <c r="L69" s="5">
        <v>-36334.986540602287</v>
      </c>
    </row>
    <row r="70" spans="1:12">
      <c r="A70" s="5">
        <v>65</v>
      </c>
      <c r="B70" s="5">
        <v>793184.92297975183</v>
      </c>
      <c r="C70" s="5">
        <v>-8682.2429797517834</v>
      </c>
      <c r="E70" s="5">
        <v>100</v>
      </c>
      <c r="F70" s="5">
        <v>638692.81518723397</v>
      </c>
      <c r="G70" s="5">
        <v>36484.864812766085</v>
      </c>
      <c r="J70" s="5">
        <v>188</v>
      </c>
      <c r="K70" s="5">
        <v>748876.65951659693</v>
      </c>
      <c r="L70" s="5">
        <v>-36330.279516596929</v>
      </c>
    </row>
    <row r="71" spans="1:12">
      <c r="A71" s="5">
        <v>66</v>
      </c>
      <c r="B71" s="5">
        <v>726341.23802388611</v>
      </c>
      <c r="C71" s="5">
        <v>-9199.6880238860613</v>
      </c>
      <c r="E71" s="5">
        <v>143</v>
      </c>
      <c r="F71" s="5">
        <v>647058.42234533292</v>
      </c>
      <c r="G71" s="5">
        <v>35580.85765466711</v>
      </c>
      <c r="J71" s="5">
        <v>70</v>
      </c>
      <c r="K71" s="5">
        <v>515185.21208666626</v>
      </c>
      <c r="L71" s="5">
        <v>-36134.712086666259</v>
      </c>
    </row>
    <row r="72" spans="1:12">
      <c r="A72" s="5">
        <v>67</v>
      </c>
      <c r="B72" s="5">
        <v>819475.75012004108</v>
      </c>
      <c r="C72" s="5">
        <v>-134096.67012004112</v>
      </c>
      <c r="E72" s="5">
        <v>316</v>
      </c>
      <c r="F72" s="5">
        <v>809327.14631576836</v>
      </c>
      <c r="G72" s="5">
        <v>35383.523684231681</v>
      </c>
      <c r="J72" s="5">
        <v>192</v>
      </c>
      <c r="K72" s="5">
        <v>589936.65719357575</v>
      </c>
      <c r="L72" s="5">
        <v>-35924.587193575804</v>
      </c>
    </row>
    <row r="73" spans="1:12">
      <c r="A73" s="5">
        <v>68</v>
      </c>
      <c r="B73" s="5">
        <v>730906.34311607864</v>
      </c>
      <c r="C73" s="5">
        <v>9590.3068839213811</v>
      </c>
      <c r="E73" s="5">
        <v>249</v>
      </c>
      <c r="F73" s="5">
        <v>571434.07561822399</v>
      </c>
      <c r="G73" s="5">
        <v>35349.594381776056</v>
      </c>
      <c r="J73" s="5">
        <v>59</v>
      </c>
      <c r="K73" s="5">
        <v>653034.799826356</v>
      </c>
      <c r="L73" s="5">
        <v>-35743.649826355977</v>
      </c>
    </row>
    <row r="74" spans="1:12">
      <c r="A74" s="5">
        <v>69</v>
      </c>
      <c r="B74" s="5">
        <v>583506.49622256949</v>
      </c>
      <c r="C74" s="5">
        <v>78420.643777430523</v>
      </c>
      <c r="E74" s="5">
        <v>165</v>
      </c>
      <c r="F74" s="5">
        <v>790531.17673894553</v>
      </c>
      <c r="G74" s="5">
        <v>35266.733261054498</v>
      </c>
      <c r="J74" s="5">
        <v>288</v>
      </c>
      <c r="K74" s="5">
        <v>583515.15035658551</v>
      </c>
      <c r="L74" s="5">
        <v>-35411.450356585556</v>
      </c>
    </row>
    <row r="75" spans="1:12">
      <c r="A75" s="5">
        <v>70</v>
      </c>
      <c r="B75" s="5">
        <v>515185.21208666626</v>
      </c>
      <c r="C75" s="5">
        <v>-36134.712086666259</v>
      </c>
      <c r="E75" s="5">
        <v>255</v>
      </c>
      <c r="F75" s="5">
        <v>684921.84212365688</v>
      </c>
      <c r="G75" s="5">
        <v>35157.697876343154</v>
      </c>
      <c r="J75" s="5">
        <v>149</v>
      </c>
      <c r="K75" s="5">
        <v>648021.06532969477</v>
      </c>
      <c r="L75" s="5">
        <v>-33996.155329694739</v>
      </c>
    </row>
    <row r="76" spans="1:12">
      <c r="A76" s="5">
        <v>71</v>
      </c>
      <c r="B76" s="5">
        <v>554018.93606644543</v>
      </c>
      <c r="C76" s="5">
        <v>51004.933933554566</v>
      </c>
      <c r="E76" s="5">
        <v>220</v>
      </c>
      <c r="F76" s="5">
        <v>571813.07424695615</v>
      </c>
      <c r="G76" s="5">
        <v>34465.225753043895</v>
      </c>
      <c r="J76" s="5">
        <v>124</v>
      </c>
      <c r="K76" s="5">
        <v>475182.79311536282</v>
      </c>
      <c r="L76" s="5">
        <v>-33907.373115362832</v>
      </c>
    </row>
    <row r="77" spans="1:12">
      <c r="A77" s="5">
        <v>72</v>
      </c>
      <c r="B77" s="5">
        <v>636825.03584753373</v>
      </c>
      <c r="C77" s="5">
        <v>37949.05415246624</v>
      </c>
      <c r="E77" s="5">
        <v>189</v>
      </c>
      <c r="F77" s="5">
        <v>591557.45879977872</v>
      </c>
      <c r="G77" s="5">
        <v>34436.371200221241</v>
      </c>
      <c r="J77" s="5">
        <v>175</v>
      </c>
      <c r="K77" s="5">
        <v>791713.44789563341</v>
      </c>
      <c r="L77" s="5">
        <v>-33575.157895633369</v>
      </c>
    </row>
    <row r="78" spans="1:12">
      <c r="A78" s="5">
        <v>73</v>
      </c>
      <c r="B78" s="5">
        <v>623775.41328039626</v>
      </c>
      <c r="C78" s="5">
        <v>-7706.003280396224</v>
      </c>
      <c r="E78" s="5">
        <v>144</v>
      </c>
      <c r="F78" s="5">
        <v>660876.28034421965</v>
      </c>
      <c r="G78" s="5">
        <v>34222.229655780364</v>
      </c>
      <c r="J78" s="5">
        <v>174</v>
      </c>
      <c r="K78" s="5">
        <v>753318.99402509455</v>
      </c>
      <c r="L78" s="5">
        <v>-31954.884025094565</v>
      </c>
    </row>
    <row r="79" spans="1:12">
      <c r="A79" s="5">
        <v>74</v>
      </c>
      <c r="B79" s="5">
        <v>678240.17214786378</v>
      </c>
      <c r="C79" s="5">
        <v>-47410.232147863833</v>
      </c>
      <c r="E79" s="5">
        <v>91</v>
      </c>
      <c r="F79" s="5">
        <v>705678.06646454765</v>
      </c>
      <c r="G79" s="5">
        <v>34174.513535452308</v>
      </c>
      <c r="J79" s="5">
        <v>227</v>
      </c>
      <c r="K79" s="5">
        <v>558673.46122224594</v>
      </c>
      <c r="L79" s="5">
        <v>-30991.901222245884</v>
      </c>
    </row>
    <row r="80" spans="1:12">
      <c r="A80" s="5">
        <v>75</v>
      </c>
      <c r="B80" s="5">
        <v>688312.37610232679</v>
      </c>
      <c r="C80" s="5">
        <v>99775.303897673264</v>
      </c>
      <c r="E80" s="5">
        <v>129</v>
      </c>
      <c r="F80" s="5">
        <v>815169.88219488261</v>
      </c>
      <c r="G80" s="5">
        <v>33848.417805117439</v>
      </c>
      <c r="J80" s="5">
        <v>285</v>
      </c>
      <c r="K80" s="5">
        <v>667072.15850066929</v>
      </c>
      <c r="L80" s="5">
        <v>-30296.498500669259</v>
      </c>
    </row>
    <row r="81" spans="1:12">
      <c r="A81" s="5">
        <v>76</v>
      </c>
      <c r="B81" s="5">
        <v>722288.95768840879</v>
      </c>
      <c r="C81" s="5">
        <v>-41448.597688408801</v>
      </c>
      <c r="E81" s="5">
        <v>253</v>
      </c>
      <c r="F81" s="5">
        <v>731396.74403439614</v>
      </c>
      <c r="G81" s="5">
        <v>33552.255965603865</v>
      </c>
      <c r="J81" s="5">
        <v>50</v>
      </c>
      <c r="K81" s="5">
        <v>633382.48645690235</v>
      </c>
      <c r="L81" s="5">
        <v>-30084.9164569024</v>
      </c>
    </row>
    <row r="82" spans="1:12">
      <c r="A82" s="5">
        <v>77</v>
      </c>
      <c r="B82" s="5">
        <v>695337.42318438494</v>
      </c>
      <c r="C82" s="5">
        <v>-51679.953184384969</v>
      </c>
      <c r="E82" s="5">
        <v>62</v>
      </c>
      <c r="F82" s="5">
        <v>582430.08079920278</v>
      </c>
      <c r="G82" s="5">
        <v>33536.399200797197</v>
      </c>
      <c r="J82" s="5">
        <v>284</v>
      </c>
      <c r="K82" s="5">
        <v>527170.31970055145</v>
      </c>
      <c r="L82" s="5">
        <v>-29730.499700551445</v>
      </c>
    </row>
    <row r="83" spans="1:12">
      <c r="A83" s="5">
        <v>78</v>
      </c>
      <c r="B83" s="5">
        <v>671922.74872996181</v>
      </c>
      <c r="C83" s="5">
        <v>19189.851270038169</v>
      </c>
      <c r="E83" s="5">
        <v>266</v>
      </c>
      <c r="F83" s="5">
        <v>734359.2791229682</v>
      </c>
      <c r="G83" s="5">
        <v>33433.66087703174</v>
      </c>
      <c r="J83" s="5">
        <v>239</v>
      </c>
      <c r="K83" s="5">
        <v>791594.69089172862</v>
      </c>
      <c r="L83" s="5">
        <v>-29675.44089172862</v>
      </c>
    </row>
    <row r="84" spans="1:12">
      <c r="A84" s="5">
        <v>79</v>
      </c>
      <c r="B84" s="5">
        <v>744338.25972267892</v>
      </c>
      <c r="C84" s="5">
        <v>32583.91027732112</v>
      </c>
      <c r="E84" s="5">
        <v>241</v>
      </c>
      <c r="F84" s="5">
        <v>743978.52309953852</v>
      </c>
      <c r="G84" s="5">
        <v>33014.40690046153</v>
      </c>
      <c r="J84" s="5">
        <v>128</v>
      </c>
      <c r="K84" s="5">
        <v>726381.11183451954</v>
      </c>
      <c r="L84" s="5">
        <v>-29225.811834519496</v>
      </c>
    </row>
    <row r="85" spans="1:12">
      <c r="A85" s="5">
        <v>80</v>
      </c>
      <c r="B85" s="5">
        <v>685089.70066935779</v>
      </c>
      <c r="C85" s="5">
        <v>-48528.360669357819</v>
      </c>
      <c r="E85" s="5">
        <v>267</v>
      </c>
      <c r="F85" s="5">
        <v>712680.2674860314</v>
      </c>
      <c r="G85" s="5">
        <v>32900.242513968609</v>
      </c>
      <c r="J85" s="5">
        <v>81</v>
      </c>
      <c r="K85" s="5">
        <v>650379.83648545563</v>
      </c>
      <c r="L85" s="5">
        <v>-29010.256485455669</v>
      </c>
    </row>
    <row r="86" spans="1:12">
      <c r="A86" s="5">
        <v>81</v>
      </c>
      <c r="B86" s="5">
        <v>650379.83648545563</v>
      </c>
      <c r="C86" s="5">
        <v>-29010.256485455669</v>
      </c>
      <c r="E86" s="5">
        <v>150</v>
      </c>
      <c r="F86" s="5">
        <v>680058.68646234937</v>
      </c>
      <c r="G86" s="5">
        <v>32809.663537650602</v>
      </c>
      <c r="J86" s="5">
        <v>169</v>
      </c>
      <c r="K86" s="5">
        <v>768819.69511672272</v>
      </c>
      <c r="L86" s="5">
        <v>-28987.965116722742</v>
      </c>
    </row>
    <row r="87" spans="1:12">
      <c r="A87" s="5">
        <v>82</v>
      </c>
      <c r="B87" s="5">
        <v>623822.47476251563</v>
      </c>
      <c r="C87" s="5">
        <v>58385.535237484379</v>
      </c>
      <c r="E87" s="5">
        <v>79</v>
      </c>
      <c r="F87" s="5">
        <v>744338.25972267892</v>
      </c>
      <c r="G87" s="5">
        <v>32583.91027732112</v>
      </c>
      <c r="J87" s="5">
        <v>146</v>
      </c>
      <c r="K87" s="5">
        <v>564980.02185571997</v>
      </c>
      <c r="L87" s="5">
        <v>-27921.691855720012</v>
      </c>
    </row>
    <row r="88" spans="1:12">
      <c r="A88" s="5">
        <v>83</v>
      </c>
      <c r="B88" s="5">
        <v>644968.34074652952</v>
      </c>
      <c r="C88" s="5">
        <v>82273.519253470469</v>
      </c>
      <c r="E88" s="5">
        <v>40</v>
      </c>
      <c r="F88" s="5">
        <v>796891.71897730068</v>
      </c>
      <c r="G88" s="5">
        <v>31732.131022699294</v>
      </c>
      <c r="J88" s="5">
        <v>166</v>
      </c>
      <c r="K88" s="5">
        <v>732867.5560629773</v>
      </c>
      <c r="L88" s="5">
        <v>-26582.036062977277</v>
      </c>
    </row>
    <row r="89" spans="1:12">
      <c r="A89" s="5">
        <v>84</v>
      </c>
      <c r="B89" s="5">
        <v>570833.5497341617</v>
      </c>
      <c r="C89" s="5">
        <v>-1732.7697341616731</v>
      </c>
      <c r="E89" s="5">
        <v>173</v>
      </c>
      <c r="F89" s="5">
        <v>749555.80295868637</v>
      </c>
      <c r="G89" s="5">
        <v>30788.377041313681</v>
      </c>
      <c r="J89" s="5">
        <v>6</v>
      </c>
      <c r="K89" s="5">
        <v>787820.76285121276</v>
      </c>
      <c r="L89" s="5">
        <v>-25985.422851212788</v>
      </c>
    </row>
    <row r="90" spans="1:12">
      <c r="A90" s="5">
        <v>85</v>
      </c>
      <c r="B90" s="5">
        <v>570976.28761584975</v>
      </c>
      <c r="C90" s="5">
        <v>3460.0023841502843</v>
      </c>
      <c r="E90" s="5">
        <v>122</v>
      </c>
      <c r="F90" s="5">
        <v>624362.1395822569</v>
      </c>
      <c r="G90" s="5">
        <v>29954.950417743064</v>
      </c>
      <c r="J90" s="5">
        <v>314</v>
      </c>
      <c r="K90" s="5">
        <v>714059.58416563552</v>
      </c>
      <c r="L90" s="5">
        <v>-25691.124165635556</v>
      </c>
    </row>
    <row r="91" spans="1:12">
      <c r="A91" s="5">
        <v>86</v>
      </c>
      <c r="B91" s="5">
        <v>632449.20707733545</v>
      </c>
      <c r="C91" s="5">
        <v>-20682.487077335478</v>
      </c>
      <c r="E91" s="5">
        <v>171</v>
      </c>
      <c r="F91" s="5">
        <v>740107.36661866913</v>
      </c>
      <c r="G91" s="5">
        <v>29595.393381330883</v>
      </c>
      <c r="J91" s="5">
        <v>116</v>
      </c>
      <c r="K91" s="5">
        <v>743018.15115455643</v>
      </c>
      <c r="L91" s="5">
        <v>-24943.361154556391</v>
      </c>
    </row>
    <row r="92" spans="1:12">
      <c r="A92" s="5">
        <v>87</v>
      </c>
      <c r="B92" s="5">
        <v>624173.86712082557</v>
      </c>
      <c r="C92" s="5">
        <v>-9577.5471208256204</v>
      </c>
      <c r="E92" s="5">
        <v>110</v>
      </c>
      <c r="F92" s="5">
        <v>634861.14944509091</v>
      </c>
      <c r="G92" s="5">
        <v>29301.340554909082</v>
      </c>
      <c r="J92" s="5">
        <v>215</v>
      </c>
      <c r="K92" s="5">
        <v>777092.57866143377</v>
      </c>
      <c r="L92" s="5">
        <v>-24770.858661433798</v>
      </c>
    </row>
    <row r="93" spans="1:12">
      <c r="A93" s="5">
        <v>88</v>
      </c>
      <c r="B93" s="5">
        <v>464885.76471215533</v>
      </c>
      <c r="C93" s="5">
        <v>-14173.844712155347</v>
      </c>
      <c r="E93" s="5">
        <v>274</v>
      </c>
      <c r="F93" s="5">
        <v>532412.55903727561</v>
      </c>
      <c r="G93" s="5">
        <v>29184.770962724346</v>
      </c>
      <c r="J93" s="5">
        <v>158</v>
      </c>
      <c r="K93" s="5">
        <v>626607.70275330066</v>
      </c>
      <c r="L93" s="5">
        <v>-24605.382753300713</v>
      </c>
    </row>
    <row r="94" spans="1:12">
      <c r="A94" s="5">
        <v>89</v>
      </c>
      <c r="B94" s="5">
        <v>705342.95638520375</v>
      </c>
      <c r="C94" s="5">
        <v>5870.5036147962091</v>
      </c>
      <c r="E94" s="5">
        <v>159</v>
      </c>
      <c r="F94" s="5">
        <v>695134.8415807219</v>
      </c>
      <c r="G94" s="5">
        <v>29081.22841927805</v>
      </c>
      <c r="J94" s="5">
        <v>155</v>
      </c>
      <c r="K94" s="5">
        <v>709912.42854831007</v>
      </c>
      <c r="L94" s="5">
        <v>-24082.188548310078</v>
      </c>
    </row>
    <row r="95" spans="1:12">
      <c r="A95" s="5">
        <v>90</v>
      </c>
      <c r="B95" s="5">
        <v>755698.33719512692</v>
      </c>
      <c r="C95" s="5">
        <v>-128526.4371951269</v>
      </c>
      <c r="E95" s="5">
        <v>103</v>
      </c>
      <c r="F95" s="5">
        <v>711467.59549407568</v>
      </c>
      <c r="G95" s="5">
        <v>28635.044505924336</v>
      </c>
      <c r="J95" s="5">
        <v>235</v>
      </c>
      <c r="K95" s="5">
        <v>664177.19097873964</v>
      </c>
      <c r="L95" s="5">
        <v>-23510.660978739616</v>
      </c>
    </row>
    <row r="96" spans="1:12">
      <c r="A96" s="5">
        <v>91</v>
      </c>
      <c r="B96" s="5">
        <v>705678.06646454765</v>
      </c>
      <c r="C96" s="5">
        <v>34174.513535452308</v>
      </c>
      <c r="E96" s="5">
        <v>213</v>
      </c>
      <c r="F96" s="5">
        <v>783601.40036733146</v>
      </c>
      <c r="G96" s="5">
        <v>28551.199632668518</v>
      </c>
      <c r="J96" s="5">
        <v>19</v>
      </c>
      <c r="K96" s="5">
        <v>689640.16882922978</v>
      </c>
      <c r="L96" s="5">
        <v>-23066.968829229823</v>
      </c>
    </row>
    <row r="97" spans="1:12">
      <c r="A97" s="5">
        <v>92</v>
      </c>
      <c r="B97" s="5">
        <v>570075.54545863683</v>
      </c>
      <c r="C97" s="5">
        <v>16231.674541363143</v>
      </c>
      <c r="E97" s="5">
        <v>142</v>
      </c>
      <c r="F97" s="5">
        <v>686973.76247921784</v>
      </c>
      <c r="G97" s="5">
        <v>28123.807520782109</v>
      </c>
      <c r="J97" s="5">
        <v>309</v>
      </c>
      <c r="K97" s="5">
        <v>651204.9032362462</v>
      </c>
      <c r="L97" s="5">
        <v>-22666.603236246156</v>
      </c>
    </row>
    <row r="98" spans="1:12">
      <c r="A98" s="5">
        <v>93</v>
      </c>
      <c r="B98" s="5">
        <v>593829.1145931012</v>
      </c>
      <c r="C98" s="5">
        <v>-7891.6345931012183</v>
      </c>
      <c r="E98" s="5">
        <v>179</v>
      </c>
      <c r="F98" s="5">
        <v>753968.7107748139</v>
      </c>
      <c r="G98" s="5">
        <v>27986.809225186124</v>
      </c>
      <c r="J98" s="5">
        <v>299</v>
      </c>
      <c r="K98" s="5">
        <v>621014.4598569579</v>
      </c>
      <c r="L98" s="5">
        <v>-21997.129856957938</v>
      </c>
    </row>
    <row r="99" spans="1:12">
      <c r="A99" s="5">
        <v>94</v>
      </c>
      <c r="B99" s="5">
        <v>706908.43303481338</v>
      </c>
      <c r="C99" s="5">
        <v>46565.116965186666</v>
      </c>
      <c r="E99" s="5">
        <v>218</v>
      </c>
      <c r="F99" s="5">
        <v>594980.43226086558</v>
      </c>
      <c r="G99" s="5">
        <v>27911.987739134463</v>
      </c>
      <c r="J99" s="5">
        <v>311</v>
      </c>
      <c r="K99" s="5">
        <v>643582.63092170027</v>
      </c>
      <c r="L99" s="5">
        <v>-21905.330921700224</v>
      </c>
    </row>
    <row r="100" spans="1:12">
      <c r="A100" s="5">
        <v>95</v>
      </c>
      <c r="B100" s="5">
        <v>773696.93786816311</v>
      </c>
      <c r="C100" s="5">
        <v>64553.382131836843</v>
      </c>
      <c r="E100" s="5">
        <v>225</v>
      </c>
      <c r="F100" s="5">
        <v>613991.7317475297</v>
      </c>
      <c r="G100" s="5">
        <v>27572.868252470274</v>
      </c>
      <c r="J100" s="5">
        <v>20</v>
      </c>
      <c r="K100" s="5">
        <v>612706.83369731135</v>
      </c>
      <c r="L100" s="5">
        <v>-21086.883697311394</v>
      </c>
    </row>
    <row r="101" spans="1:12">
      <c r="A101" s="5">
        <v>96</v>
      </c>
      <c r="B101" s="5">
        <v>621178.35696666839</v>
      </c>
      <c r="C101" s="5">
        <v>-13280.236966668395</v>
      </c>
      <c r="E101" s="5">
        <v>245</v>
      </c>
      <c r="F101" s="5">
        <v>774753.66351834428</v>
      </c>
      <c r="G101" s="5">
        <v>27248.016481655766</v>
      </c>
      <c r="J101" s="5">
        <v>86</v>
      </c>
      <c r="K101" s="5">
        <v>632449.20707733545</v>
      </c>
      <c r="L101" s="5">
        <v>-20682.487077335478</v>
      </c>
    </row>
    <row r="102" spans="1:12">
      <c r="A102" s="5">
        <v>97</v>
      </c>
      <c r="B102" s="5">
        <v>685049.09120455093</v>
      </c>
      <c r="C102" s="5">
        <v>6064.5287954490632</v>
      </c>
      <c r="E102" s="5">
        <v>47</v>
      </c>
      <c r="F102" s="5">
        <v>588575.7411312866</v>
      </c>
      <c r="G102" s="5">
        <v>26224.348868713365</v>
      </c>
      <c r="J102" s="5">
        <v>194</v>
      </c>
      <c r="K102" s="5">
        <v>632571.39938080916</v>
      </c>
      <c r="L102" s="5">
        <v>-20647.129380809143</v>
      </c>
    </row>
    <row r="103" spans="1:12">
      <c r="A103" s="5">
        <v>98</v>
      </c>
      <c r="B103" s="5">
        <v>662706.24046593253</v>
      </c>
      <c r="C103" s="5">
        <v>72803.159534067498</v>
      </c>
      <c r="E103" s="5">
        <v>13</v>
      </c>
      <c r="F103" s="5">
        <v>896252.9699325749</v>
      </c>
      <c r="G103" s="5">
        <v>25915.630067425082</v>
      </c>
      <c r="J103" s="5">
        <v>38</v>
      </c>
      <c r="K103" s="5">
        <v>738744.69418485416</v>
      </c>
      <c r="L103" s="5">
        <v>-20414.164184854133</v>
      </c>
    </row>
    <row r="104" spans="1:12">
      <c r="A104" s="5">
        <v>99</v>
      </c>
      <c r="B104" s="5">
        <v>609088.89708604687</v>
      </c>
      <c r="C104" s="5">
        <v>-3313.5670860469108</v>
      </c>
      <c r="E104" s="5">
        <v>307</v>
      </c>
      <c r="F104" s="5">
        <v>640282.5592900617</v>
      </c>
      <c r="G104" s="5">
        <v>25059.930709938286</v>
      </c>
      <c r="J104" s="5">
        <v>63</v>
      </c>
      <c r="K104" s="5">
        <v>591715.73806737526</v>
      </c>
      <c r="L104" s="5">
        <v>-19704.53806737531</v>
      </c>
    </row>
    <row r="105" spans="1:12">
      <c r="A105" s="5">
        <v>100</v>
      </c>
      <c r="B105" s="5">
        <v>638692.81518723397</v>
      </c>
      <c r="C105" s="5">
        <v>36484.864812766085</v>
      </c>
      <c r="E105" s="5">
        <v>221</v>
      </c>
      <c r="F105" s="5">
        <v>687839.6927768254</v>
      </c>
      <c r="G105" s="5">
        <v>24380.11722317466</v>
      </c>
      <c r="J105" s="5">
        <v>195</v>
      </c>
      <c r="K105" s="5">
        <v>578385.57848991523</v>
      </c>
      <c r="L105" s="5">
        <v>-18963.558489915216</v>
      </c>
    </row>
    <row r="106" spans="1:12">
      <c r="A106" s="5">
        <v>101</v>
      </c>
      <c r="B106" s="5">
        <v>564037.67309457471</v>
      </c>
      <c r="C106" s="5">
        <v>71143.676905425265</v>
      </c>
      <c r="E106" s="5">
        <v>57</v>
      </c>
      <c r="F106" s="5">
        <v>493736.62457981094</v>
      </c>
      <c r="G106" s="5">
        <v>24312.635420189064</v>
      </c>
      <c r="J106" s="5">
        <v>302</v>
      </c>
      <c r="K106" s="5">
        <v>742201.01770664763</v>
      </c>
      <c r="L106" s="5">
        <v>-17854.28770664765</v>
      </c>
    </row>
    <row r="107" spans="1:12">
      <c r="A107" s="5">
        <v>102</v>
      </c>
      <c r="B107" s="5">
        <v>598490.63575987576</v>
      </c>
      <c r="C107" s="5">
        <v>-11863.695759875816</v>
      </c>
      <c r="E107" s="5">
        <v>190</v>
      </c>
      <c r="F107" s="5">
        <v>528915.73949545505</v>
      </c>
      <c r="G107" s="5">
        <v>22047.190504544997</v>
      </c>
      <c r="J107" s="5">
        <v>46</v>
      </c>
      <c r="K107" s="5">
        <v>617379.1187454171</v>
      </c>
      <c r="L107" s="5">
        <v>-17775.718745417078</v>
      </c>
    </row>
    <row r="108" spans="1:12">
      <c r="A108" s="5">
        <v>103</v>
      </c>
      <c r="B108" s="5">
        <v>711467.59549407568</v>
      </c>
      <c r="C108" s="5">
        <v>28635.044505924336</v>
      </c>
      <c r="E108" s="5">
        <v>78</v>
      </c>
      <c r="F108" s="5">
        <v>671922.74872996181</v>
      </c>
      <c r="G108" s="5">
        <v>19189.851270038169</v>
      </c>
      <c r="J108" s="5">
        <v>108</v>
      </c>
      <c r="K108" s="5">
        <v>682875.64585134224</v>
      </c>
      <c r="L108" s="5">
        <v>-17280.705851342296</v>
      </c>
    </row>
    <row r="109" spans="1:12">
      <c r="A109" s="5">
        <v>104</v>
      </c>
      <c r="B109" s="5">
        <v>503879.70850344258</v>
      </c>
      <c r="C109" s="5">
        <v>121634.33149655745</v>
      </c>
      <c r="E109" s="5">
        <v>244</v>
      </c>
      <c r="F109" s="5">
        <v>743996.08986289694</v>
      </c>
      <c r="G109" s="5">
        <v>19163.830137103098</v>
      </c>
      <c r="J109" s="5">
        <v>157</v>
      </c>
      <c r="K109" s="5">
        <v>716768.67548250535</v>
      </c>
      <c r="L109" s="5">
        <v>-16690.355482505402</v>
      </c>
    </row>
    <row r="110" spans="1:12">
      <c r="A110" s="5">
        <v>105</v>
      </c>
      <c r="B110" s="5">
        <v>718823.36183256807</v>
      </c>
      <c r="C110" s="5">
        <v>8403.8381674318807</v>
      </c>
      <c r="E110" s="5">
        <v>154</v>
      </c>
      <c r="F110" s="5">
        <v>680144.72795479943</v>
      </c>
      <c r="G110" s="5">
        <v>18347.942045200616</v>
      </c>
      <c r="J110" s="5">
        <v>290</v>
      </c>
      <c r="K110" s="5">
        <v>712548.81428261916</v>
      </c>
      <c r="L110" s="5">
        <v>-16287.324282619171</v>
      </c>
    </row>
    <row r="111" spans="1:12">
      <c r="A111" s="5">
        <v>106</v>
      </c>
      <c r="B111" s="5">
        <v>787474.74130878795</v>
      </c>
      <c r="C111" s="5">
        <v>-3676.8513087879401</v>
      </c>
      <c r="E111" s="5">
        <v>242</v>
      </c>
      <c r="F111" s="5">
        <v>658153.25182211085</v>
      </c>
      <c r="G111" s="5">
        <v>18184.158177889185</v>
      </c>
      <c r="J111" s="5">
        <v>31</v>
      </c>
      <c r="K111" s="5">
        <v>516250.03955719015</v>
      </c>
      <c r="L111" s="5">
        <v>-16077.019557190128</v>
      </c>
    </row>
    <row r="112" spans="1:12">
      <c r="A112" s="5">
        <v>107</v>
      </c>
      <c r="B112" s="5">
        <v>711031.70722380187</v>
      </c>
      <c r="C112" s="5">
        <v>84122.132776198094</v>
      </c>
      <c r="E112" s="5">
        <v>44</v>
      </c>
      <c r="F112" s="5">
        <v>587042.65051210253</v>
      </c>
      <c r="G112" s="5">
        <v>18135.349487897474</v>
      </c>
      <c r="J112" s="5">
        <v>39</v>
      </c>
      <c r="K112" s="5">
        <v>752362.18018798577</v>
      </c>
      <c r="L112" s="5">
        <v>-15728.780187985743</v>
      </c>
    </row>
    <row r="113" spans="1:12">
      <c r="A113" s="5">
        <v>108</v>
      </c>
      <c r="B113" s="5">
        <v>682875.64585134224</v>
      </c>
      <c r="C113" s="5">
        <v>-17280.705851342296</v>
      </c>
      <c r="E113" s="5">
        <v>312</v>
      </c>
      <c r="F113" s="5">
        <v>753066.82528074621</v>
      </c>
      <c r="G113" s="5">
        <v>18062.244719253737</v>
      </c>
      <c r="J113" s="5">
        <v>301</v>
      </c>
      <c r="K113" s="5">
        <v>719537.61323905957</v>
      </c>
      <c r="L113" s="5">
        <v>-15724.623239059583</v>
      </c>
    </row>
    <row r="114" spans="1:12">
      <c r="A114" s="5">
        <v>109</v>
      </c>
      <c r="B114" s="5">
        <v>701395.58908533922</v>
      </c>
      <c r="C114" s="5">
        <v>8082.8009146607947</v>
      </c>
      <c r="E114" s="5">
        <v>24</v>
      </c>
      <c r="F114" s="5">
        <v>548186.18220324372</v>
      </c>
      <c r="G114" s="5">
        <v>17624.807796756271</v>
      </c>
      <c r="J114" s="5">
        <v>184</v>
      </c>
      <c r="K114" s="5">
        <v>834924.15614802821</v>
      </c>
      <c r="L114" s="5">
        <v>-15263.566148028243</v>
      </c>
    </row>
    <row r="115" spans="1:12">
      <c r="A115" s="5">
        <v>110</v>
      </c>
      <c r="B115" s="5">
        <v>634861.14944509091</v>
      </c>
      <c r="C115" s="5">
        <v>29301.340554909082</v>
      </c>
      <c r="E115" s="5">
        <v>126</v>
      </c>
      <c r="F115" s="5">
        <v>824854.52793962811</v>
      </c>
      <c r="G115" s="5">
        <v>17585.142060371931</v>
      </c>
      <c r="J115" s="5">
        <v>132</v>
      </c>
      <c r="K115" s="5">
        <v>826616.93892295705</v>
      </c>
      <c r="L115" s="5">
        <v>-15164.218922957079</v>
      </c>
    </row>
    <row r="116" spans="1:12">
      <c r="A116" s="5">
        <v>111</v>
      </c>
      <c r="B116" s="5">
        <v>635158.07026994007</v>
      </c>
      <c r="C116" s="5">
        <v>-1663.860269940109</v>
      </c>
      <c r="E116" s="5">
        <v>217</v>
      </c>
      <c r="F116" s="5">
        <v>656750.29576815851</v>
      </c>
      <c r="G116" s="5">
        <v>17538.804231841466</v>
      </c>
      <c r="J116" s="5">
        <v>191</v>
      </c>
      <c r="K116" s="5">
        <v>458394.51432378474</v>
      </c>
      <c r="L116" s="5">
        <v>-15118.924323784711</v>
      </c>
    </row>
    <row r="117" spans="1:12">
      <c r="A117" s="5">
        <v>112</v>
      </c>
      <c r="B117" s="5">
        <v>584637.78361062135</v>
      </c>
      <c r="C117" s="5">
        <v>128973.37638937868</v>
      </c>
      <c r="E117" s="5">
        <v>168</v>
      </c>
      <c r="F117" s="5">
        <v>803913.05017844331</v>
      </c>
      <c r="G117" s="5">
        <v>16816.239821556723</v>
      </c>
      <c r="J117" s="5">
        <v>11</v>
      </c>
      <c r="K117" s="5">
        <v>738091.21297340642</v>
      </c>
      <c r="L117" s="5">
        <v>-15030.452973406413</v>
      </c>
    </row>
    <row r="118" spans="1:12">
      <c r="A118" s="5">
        <v>113</v>
      </c>
      <c r="B118" s="5">
        <v>771487.1045574717</v>
      </c>
      <c r="C118" s="5">
        <v>6910.865442528273</v>
      </c>
      <c r="E118" s="5">
        <v>92</v>
      </c>
      <c r="F118" s="5">
        <v>570075.54545863683</v>
      </c>
      <c r="G118" s="5">
        <v>16231.674541363143</v>
      </c>
      <c r="J118" s="5">
        <v>177</v>
      </c>
      <c r="K118" s="5">
        <v>902266.98806195019</v>
      </c>
      <c r="L118" s="5">
        <v>-14729.238061950193</v>
      </c>
    </row>
    <row r="119" spans="1:12">
      <c r="A119" s="5">
        <v>114</v>
      </c>
      <c r="B119" s="5">
        <v>812824.09084540815</v>
      </c>
      <c r="C119" s="5">
        <v>60555.929154591868</v>
      </c>
      <c r="E119" s="5">
        <v>156</v>
      </c>
      <c r="F119" s="5">
        <v>686237.50861954538</v>
      </c>
      <c r="G119" s="5">
        <v>16081.431380454567</v>
      </c>
      <c r="J119" s="5">
        <v>182</v>
      </c>
      <c r="K119" s="5">
        <v>766118.13516858662</v>
      </c>
      <c r="L119" s="5">
        <v>-14724.25516858662</v>
      </c>
    </row>
    <row r="120" spans="1:12">
      <c r="A120" s="5">
        <v>115</v>
      </c>
      <c r="B120" s="5">
        <v>749455.75146462163</v>
      </c>
      <c r="C120" s="5">
        <v>-52167.851464621606</v>
      </c>
      <c r="E120" s="5">
        <v>120</v>
      </c>
      <c r="F120" s="5">
        <v>720995.80858552712</v>
      </c>
      <c r="G120" s="5">
        <v>14484.381414472824</v>
      </c>
      <c r="J120" s="5">
        <v>275</v>
      </c>
      <c r="K120" s="5">
        <v>650072.96490223915</v>
      </c>
      <c r="L120" s="5">
        <v>-14235.224902239162</v>
      </c>
    </row>
    <row r="121" spans="1:12">
      <c r="A121" s="5">
        <v>116</v>
      </c>
      <c r="B121" s="5">
        <v>743018.15115455643</v>
      </c>
      <c r="C121" s="5">
        <v>-24943.361154556391</v>
      </c>
      <c r="E121" s="5">
        <v>278</v>
      </c>
      <c r="F121" s="5">
        <v>724794.5794715184</v>
      </c>
      <c r="G121" s="5">
        <v>13753.84052848164</v>
      </c>
      <c r="J121" s="5">
        <v>88</v>
      </c>
      <c r="K121" s="5">
        <v>464885.76471215533</v>
      </c>
      <c r="L121" s="5">
        <v>-14173.844712155347</v>
      </c>
    </row>
    <row r="122" spans="1:12">
      <c r="A122" s="5">
        <v>117</v>
      </c>
      <c r="B122" s="5">
        <v>711323.07181745674</v>
      </c>
      <c r="C122" s="5">
        <v>3619.3581825433066</v>
      </c>
      <c r="E122" s="5">
        <v>205</v>
      </c>
      <c r="F122" s="5">
        <v>811379.56685156061</v>
      </c>
      <c r="G122" s="5">
        <v>13680.95314843941</v>
      </c>
      <c r="J122" s="5">
        <v>238</v>
      </c>
      <c r="K122" s="5">
        <v>824312.80120164505</v>
      </c>
      <c r="L122" s="5">
        <v>-13957.781201645033</v>
      </c>
    </row>
    <row r="123" spans="1:12">
      <c r="A123" s="5">
        <v>118</v>
      </c>
      <c r="B123" s="5">
        <v>750479.93779392797</v>
      </c>
      <c r="C123" s="5">
        <v>70039.102206072072</v>
      </c>
      <c r="E123" s="5">
        <v>7</v>
      </c>
      <c r="F123" s="5">
        <v>793658.57446289412</v>
      </c>
      <c r="G123" s="5">
        <v>12956.96553710592</v>
      </c>
      <c r="J123" s="5">
        <v>96</v>
      </c>
      <c r="K123" s="5">
        <v>621178.35696666839</v>
      </c>
      <c r="L123" s="5">
        <v>-13280.236966668395</v>
      </c>
    </row>
    <row r="124" spans="1:12">
      <c r="A124" s="5">
        <v>119</v>
      </c>
      <c r="B124" s="5">
        <v>737343.57457491464</v>
      </c>
      <c r="C124" s="5">
        <v>-53126.254574914696</v>
      </c>
      <c r="E124" s="5">
        <v>135</v>
      </c>
      <c r="F124" s="5">
        <v>580394.40953128913</v>
      </c>
      <c r="G124" s="5">
        <v>12852.84046871087</v>
      </c>
      <c r="J124" s="5">
        <v>16</v>
      </c>
      <c r="K124" s="5">
        <v>846275.15714281378</v>
      </c>
      <c r="L124" s="5">
        <v>-12258.137142813765</v>
      </c>
    </row>
    <row r="125" spans="1:12">
      <c r="A125" s="5">
        <v>120</v>
      </c>
      <c r="B125" s="5">
        <v>720995.80858552712</v>
      </c>
      <c r="C125" s="5">
        <v>14484.381414472824</v>
      </c>
      <c r="E125" s="5">
        <v>140</v>
      </c>
      <c r="F125" s="5">
        <v>634019.71842682164</v>
      </c>
      <c r="G125" s="5">
        <v>12539.991573178326</v>
      </c>
      <c r="J125" s="5">
        <v>273</v>
      </c>
      <c r="K125" s="5">
        <v>657204.89699972887</v>
      </c>
      <c r="L125" s="5">
        <v>-12164.926999728894</v>
      </c>
    </row>
    <row r="126" spans="1:12">
      <c r="A126" s="5">
        <v>121</v>
      </c>
      <c r="B126" s="5">
        <v>578595.4176372654</v>
      </c>
      <c r="C126" s="5">
        <v>-69110.607637265406</v>
      </c>
      <c r="E126" s="5">
        <v>209</v>
      </c>
      <c r="F126" s="5">
        <v>798605.75095476781</v>
      </c>
      <c r="G126" s="5">
        <v>11840.779045232222</v>
      </c>
      <c r="J126" s="5">
        <v>102</v>
      </c>
      <c r="K126" s="5">
        <v>598490.63575987576</v>
      </c>
      <c r="L126" s="5">
        <v>-11863.695759875816</v>
      </c>
    </row>
    <row r="127" spans="1:12">
      <c r="A127" s="5">
        <v>122</v>
      </c>
      <c r="B127" s="5">
        <v>624362.1395822569</v>
      </c>
      <c r="C127" s="5">
        <v>29954.950417743064</v>
      </c>
      <c r="E127" s="5">
        <v>265</v>
      </c>
      <c r="F127" s="5">
        <v>699149.70115659246</v>
      </c>
      <c r="G127" s="5">
        <v>9835.4888434074819</v>
      </c>
      <c r="J127" s="5">
        <v>247</v>
      </c>
      <c r="K127" s="5">
        <v>690585.6748318082</v>
      </c>
      <c r="L127" s="5">
        <v>-11354.814831808209</v>
      </c>
    </row>
    <row r="128" spans="1:12">
      <c r="A128" s="5">
        <v>123</v>
      </c>
      <c r="B128" s="5">
        <v>604361.94498852233</v>
      </c>
      <c r="C128" s="5">
        <v>-46874.68498852232</v>
      </c>
      <c r="E128" s="5">
        <v>292</v>
      </c>
      <c r="F128" s="5">
        <v>692246.51444002381</v>
      </c>
      <c r="G128" s="5">
        <v>9822.405559976236</v>
      </c>
      <c r="J128" s="5">
        <v>252</v>
      </c>
      <c r="K128" s="5">
        <v>740742.28367687878</v>
      </c>
      <c r="L128" s="5">
        <v>-11301.833676878829</v>
      </c>
    </row>
    <row r="129" spans="1:12">
      <c r="A129" s="5">
        <v>124</v>
      </c>
      <c r="B129" s="5">
        <v>475182.79311536282</v>
      </c>
      <c r="C129" s="5">
        <v>-33907.373115362832</v>
      </c>
      <c r="E129" s="5">
        <v>68</v>
      </c>
      <c r="F129" s="5">
        <v>730906.34311607864</v>
      </c>
      <c r="G129" s="5">
        <v>9590.3068839213811</v>
      </c>
      <c r="J129" s="5">
        <v>279</v>
      </c>
      <c r="K129" s="5">
        <v>767432.19692038861</v>
      </c>
      <c r="L129" s="5">
        <v>-10812.426920388592</v>
      </c>
    </row>
    <row r="130" spans="1:12">
      <c r="A130" s="5">
        <v>125</v>
      </c>
      <c r="B130" s="5">
        <v>824942.9961256705</v>
      </c>
      <c r="C130" s="5">
        <v>89601.173874329543</v>
      </c>
      <c r="E130" s="5">
        <v>246</v>
      </c>
      <c r="F130" s="5">
        <v>741069.82872122945</v>
      </c>
      <c r="G130" s="5">
        <v>9401.5112787705148</v>
      </c>
      <c r="J130" s="5">
        <v>5</v>
      </c>
      <c r="K130" s="5">
        <v>752091.49902621447</v>
      </c>
      <c r="L130" s="5">
        <v>-10750.059026214527</v>
      </c>
    </row>
    <row r="131" spans="1:12">
      <c r="A131" s="5">
        <v>126</v>
      </c>
      <c r="B131" s="5">
        <v>824854.52793962811</v>
      </c>
      <c r="C131" s="5">
        <v>17585.142060371931</v>
      </c>
      <c r="E131" s="5">
        <v>30</v>
      </c>
      <c r="F131" s="5">
        <v>528505.74285452487</v>
      </c>
      <c r="G131" s="5">
        <v>8878.0471454751678</v>
      </c>
      <c r="J131" s="5">
        <v>181</v>
      </c>
      <c r="K131" s="5">
        <v>865930.18335690594</v>
      </c>
      <c r="L131" s="5">
        <v>-10588.90335690591</v>
      </c>
    </row>
    <row r="132" spans="1:12">
      <c r="A132" s="5">
        <v>127</v>
      </c>
      <c r="B132" s="5">
        <v>785563.87502050668</v>
      </c>
      <c r="C132" s="5">
        <v>56594.044979493367</v>
      </c>
      <c r="E132" s="5">
        <v>105</v>
      </c>
      <c r="F132" s="5">
        <v>718823.36183256807</v>
      </c>
      <c r="G132" s="5">
        <v>8403.8381674318807</v>
      </c>
      <c r="J132" s="5">
        <v>130</v>
      </c>
      <c r="K132" s="5">
        <v>812170.7048425558</v>
      </c>
      <c r="L132" s="5">
        <v>-10340.354842555826</v>
      </c>
    </row>
    <row r="133" spans="1:12">
      <c r="A133" s="5">
        <v>128</v>
      </c>
      <c r="B133" s="5">
        <v>726381.11183451954</v>
      </c>
      <c r="C133" s="5">
        <v>-29225.811834519496</v>
      </c>
      <c r="E133" s="5">
        <v>287</v>
      </c>
      <c r="F133" s="5">
        <v>601661.82797522505</v>
      </c>
      <c r="G133" s="5">
        <v>8287.1720247749472</v>
      </c>
      <c r="J133" s="5">
        <v>201</v>
      </c>
      <c r="K133" s="5">
        <v>608920.80971232348</v>
      </c>
      <c r="L133" s="5">
        <v>-10015.909712323453</v>
      </c>
    </row>
    <row r="134" spans="1:12">
      <c r="A134" s="5">
        <v>129</v>
      </c>
      <c r="B134" s="5">
        <v>815169.88219488261</v>
      </c>
      <c r="C134" s="5">
        <v>33848.417805117439</v>
      </c>
      <c r="E134" s="5">
        <v>109</v>
      </c>
      <c r="F134" s="5">
        <v>701395.58908533922</v>
      </c>
      <c r="G134" s="5">
        <v>8082.8009146607947</v>
      </c>
      <c r="J134" s="5">
        <v>22</v>
      </c>
      <c r="K134" s="5">
        <v>501868.09998446942</v>
      </c>
      <c r="L134" s="5">
        <v>-9962.9699844694114</v>
      </c>
    </row>
    <row r="135" spans="1:12">
      <c r="A135" s="5">
        <v>130</v>
      </c>
      <c r="B135" s="5">
        <v>812170.7048425558</v>
      </c>
      <c r="C135" s="5">
        <v>-10340.354842555826</v>
      </c>
      <c r="E135" s="5">
        <v>261</v>
      </c>
      <c r="F135" s="5">
        <v>520824.57648103317</v>
      </c>
      <c r="G135" s="5">
        <v>8028.0435189668206</v>
      </c>
      <c r="J135" s="5">
        <v>42</v>
      </c>
      <c r="K135" s="5">
        <v>542581.75323663536</v>
      </c>
      <c r="L135" s="5">
        <v>-9937.2932366353925</v>
      </c>
    </row>
    <row r="136" spans="1:12">
      <c r="A136" s="5">
        <v>131</v>
      </c>
      <c r="B136" s="5">
        <v>763568.97095569223</v>
      </c>
      <c r="C136" s="5">
        <v>-38333.690955692204</v>
      </c>
      <c r="E136" s="5">
        <v>271</v>
      </c>
      <c r="F136" s="5">
        <v>791854.62602629699</v>
      </c>
      <c r="G136" s="5">
        <v>7901.8339737029746</v>
      </c>
      <c r="J136" s="5">
        <v>87</v>
      </c>
      <c r="K136" s="5">
        <v>624173.86712082557</v>
      </c>
      <c r="L136" s="5">
        <v>-9577.5471208256204</v>
      </c>
    </row>
    <row r="137" spans="1:12">
      <c r="A137" s="5">
        <v>132</v>
      </c>
      <c r="B137" s="5">
        <v>826616.93892295705</v>
      </c>
      <c r="C137" s="5">
        <v>-15164.218922957079</v>
      </c>
      <c r="E137" s="5">
        <v>223</v>
      </c>
      <c r="F137" s="5">
        <v>725440.79964540491</v>
      </c>
      <c r="G137" s="5">
        <v>7227.1203545951284</v>
      </c>
      <c r="J137" s="5">
        <v>66</v>
      </c>
      <c r="K137" s="5">
        <v>726341.23802388611</v>
      </c>
      <c r="L137" s="5">
        <v>-9199.6880238860613</v>
      </c>
    </row>
    <row r="138" spans="1:12">
      <c r="A138" s="5">
        <v>133</v>
      </c>
      <c r="B138" s="5">
        <v>582051.00452649093</v>
      </c>
      <c r="C138" s="5">
        <v>-54750.874526490923</v>
      </c>
      <c r="E138" s="5">
        <v>27</v>
      </c>
      <c r="F138" s="5">
        <v>776525.57529354666</v>
      </c>
      <c r="G138" s="5">
        <v>7147.2447064532898</v>
      </c>
      <c r="J138" s="5">
        <v>136</v>
      </c>
      <c r="K138" s="5">
        <v>538206.51128337206</v>
      </c>
      <c r="L138" s="5">
        <v>-9130.5612833721098</v>
      </c>
    </row>
    <row r="139" spans="1:12">
      <c r="A139" s="5">
        <v>134</v>
      </c>
      <c r="B139" s="5">
        <v>476968.50211164076</v>
      </c>
      <c r="C139" s="5">
        <v>-76136.852111640736</v>
      </c>
      <c r="E139" s="5">
        <v>113</v>
      </c>
      <c r="F139" s="5">
        <v>771487.1045574717</v>
      </c>
      <c r="G139" s="5">
        <v>6910.865442528273</v>
      </c>
      <c r="J139" s="5">
        <v>65</v>
      </c>
      <c r="K139" s="5">
        <v>793184.92297975183</v>
      </c>
      <c r="L139" s="5">
        <v>-8682.2429797517834</v>
      </c>
    </row>
    <row r="140" spans="1:12">
      <c r="A140" s="5">
        <v>135</v>
      </c>
      <c r="B140" s="5">
        <v>580394.40953128913</v>
      </c>
      <c r="C140" s="5">
        <v>12852.84046871087</v>
      </c>
      <c r="E140" s="5">
        <v>222</v>
      </c>
      <c r="F140" s="5">
        <v>665961.16280639893</v>
      </c>
      <c r="G140" s="5">
        <v>6709.3771936011035</v>
      </c>
      <c r="J140" s="5">
        <v>289</v>
      </c>
      <c r="K140" s="5">
        <v>737903.07639210101</v>
      </c>
      <c r="L140" s="5">
        <v>-8478.6563921009656</v>
      </c>
    </row>
    <row r="141" spans="1:12">
      <c r="A141" s="5">
        <v>136</v>
      </c>
      <c r="B141" s="5">
        <v>538206.51128337206</v>
      </c>
      <c r="C141" s="5">
        <v>-9130.5612833721098</v>
      </c>
      <c r="E141" s="5">
        <v>248</v>
      </c>
      <c r="F141" s="5">
        <v>673527.90333505266</v>
      </c>
      <c r="G141" s="5">
        <v>6360.8366649473319</v>
      </c>
      <c r="J141" s="5">
        <v>212</v>
      </c>
      <c r="K141" s="5">
        <v>770246.76901597227</v>
      </c>
      <c r="L141" s="5">
        <v>-8283.5390159722883</v>
      </c>
    </row>
    <row r="142" spans="1:12">
      <c r="A142" s="5">
        <v>137</v>
      </c>
      <c r="B142" s="5">
        <v>756902.4682610007</v>
      </c>
      <c r="C142" s="5">
        <v>-123264.43826100067</v>
      </c>
      <c r="E142" s="5">
        <v>97</v>
      </c>
      <c r="F142" s="5">
        <v>685049.09120455093</v>
      </c>
      <c r="G142" s="5">
        <v>6064.5287954490632</v>
      </c>
      <c r="J142" s="5">
        <v>226</v>
      </c>
      <c r="K142" s="5">
        <v>544525.13447361474</v>
      </c>
      <c r="L142" s="5">
        <v>-7979.6444736147532</v>
      </c>
    </row>
    <row r="143" spans="1:12">
      <c r="A143" s="5">
        <v>138</v>
      </c>
      <c r="B143" s="5">
        <v>703478.44992546714</v>
      </c>
      <c r="C143" s="5">
        <v>39870.390074532828</v>
      </c>
      <c r="E143" s="5">
        <v>89</v>
      </c>
      <c r="F143" s="5">
        <v>705342.95638520375</v>
      </c>
      <c r="G143" s="5">
        <v>5870.5036147962091</v>
      </c>
      <c r="J143" s="5">
        <v>148</v>
      </c>
      <c r="K143" s="5">
        <v>578931.93701505428</v>
      </c>
      <c r="L143" s="5">
        <v>-7967.0970150543144</v>
      </c>
    </row>
    <row r="144" spans="1:12">
      <c r="A144" s="5">
        <v>139</v>
      </c>
      <c r="B144" s="5">
        <v>702207.65296107985</v>
      </c>
      <c r="C144" s="5">
        <v>56619.987038920168</v>
      </c>
      <c r="E144" s="5">
        <v>251</v>
      </c>
      <c r="F144" s="5">
        <v>642173.99211872125</v>
      </c>
      <c r="G144" s="5">
        <v>5779.7878812787822</v>
      </c>
      <c r="J144" s="5">
        <v>93</v>
      </c>
      <c r="K144" s="5">
        <v>593829.1145931012</v>
      </c>
      <c r="L144" s="5">
        <v>-7891.6345931012183</v>
      </c>
    </row>
    <row r="145" spans="1:12">
      <c r="A145" s="5">
        <v>140</v>
      </c>
      <c r="B145" s="5">
        <v>634019.71842682164</v>
      </c>
      <c r="C145" s="5">
        <v>12539.991573178326</v>
      </c>
      <c r="E145" s="5">
        <v>243</v>
      </c>
      <c r="F145" s="5">
        <v>822612.02625494997</v>
      </c>
      <c r="G145" s="5">
        <v>5607.6437450500671</v>
      </c>
      <c r="J145" s="5">
        <v>73</v>
      </c>
      <c r="K145" s="5">
        <v>623775.41328039626</v>
      </c>
      <c r="L145" s="5">
        <v>-7706.003280396224</v>
      </c>
    </row>
    <row r="146" spans="1:12">
      <c r="A146" s="5">
        <v>141</v>
      </c>
      <c r="B146" s="5">
        <v>669914.80138995673</v>
      </c>
      <c r="C146" s="5">
        <v>45975.728610043298</v>
      </c>
      <c r="E146" s="5">
        <v>294</v>
      </c>
      <c r="F146" s="5">
        <v>527963.54923854698</v>
      </c>
      <c r="G146" s="5">
        <v>5157.710761453025</v>
      </c>
      <c r="J146" s="5">
        <v>204</v>
      </c>
      <c r="K146" s="5">
        <v>658413.39135418832</v>
      </c>
      <c r="L146" s="5">
        <v>-7617.9013541883323</v>
      </c>
    </row>
    <row r="147" spans="1:12">
      <c r="A147" s="5">
        <v>142</v>
      </c>
      <c r="B147" s="5">
        <v>686973.76247921784</v>
      </c>
      <c r="C147" s="5">
        <v>28123.807520782109</v>
      </c>
      <c r="E147" s="5">
        <v>258</v>
      </c>
      <c r="F147" s="5">
        <v>692764.71930508025</v>
      </c>
      <c r="G147" s="5">
        <v>5123.3706949197222</v>
      </c>
      <c r="J147" s="5">
        <v>51</v>
      </c>
      <c r="K147" s="5">
        <v>633215.77151678246</v>
      </c>
      <c r="L147" s="5">
        <v>-7542.9115167824784</v>
      </c>
    </row>
    <row r="148" spans="1:12">
      <c r="A148" s="5">
        <v>143</v>
      </c>
      <c r="B148" s="5">
        <v>647058.42234533292</v>
      </c>
      <c r="C148" s="5">
        <v>35580.85765466711</v>
      </c>
      <c r="E148" s="5">
        <v>236</v>
      </c>
      <c r="F148" s="5">
        <v>665581.16562859667</v>
      </c>
      <c r="G148" s="5">
        <v>5048.3143714033067</v>
      </c>
      <c r="J148" s="5">
        <v>35</v>
      </c>
      <c r="K148" s="5">
        <v>805949.58818054618</v>
      </c>
      <c r="L148" s="5">
        <v>-6997.4181805461412</v>
      </c>
    </row>
    <row r="149" spans="1:12">
      <c r="A149" s="5">
        <v>144</v>
      </c>
      <c r="B149" s="5">
        <v>660876.28034421965</v>
      </c>
      <c r="C149" s="5">
        <v>34222.229655780364</v>
      </c>
      <c r="E149" s="5">
        <v>164</v>
      </c>
      <c r="F149" s="5">
        <v>687973.40020533546</v>
      </c>
      <c r="G149" s="5">
        <v>4035.2397946645506</v>
      </c>
      <c r="J149" s="5">
        <v>10</v>
      </c>
      <c r="K149" s="5">
        <v>785951.93388917553</v>
      </c>
      <c r="L149" s="5">
        <v>-6940.9938891755883</v>
      </c>
    </row>
    <row r="150" spans="1:12">
      <c r="A150" s="5">
        <v>145</v>
      </c>
      <c r="B150" s="5">
        <v>618591.05999030604</v>
      </c>
      <c r="C150" s="5">
        <v>-40858.489990306087</v>
      </c>
      <c r="E150" s="5">
        <v>117</v>
      </c>
      <c r="F150" s="5">
        <v>711323.07181745674</v>
      </c>
      <c r="G150" s="5">
        <v>3619.3581825433066</v>
      </c>
      <c r="J150" s="5">
        <v>295</v>
      </c>
      <c r="K150" s="5">
        <v>505548.93165007111</v>
      </c>
      <c r="L150" s="5">
        <v>-6578.6116500711069</v>
      </c>
    </row>
    <row r="151" spans="1:12">
      <c r="A151" s="5">
        <v>146</v>
      </c>
      <c r="B151" s="5">
        <v>564980.02185571997</v>
      </c>
      <c r="C151" s="5">
        <v>-27921.691855720012</v>
      </c>
      <c r="E151" s="5">
        <v>85</v>
      </c>
      <c r="F151" s="5">
        <v>570976.28761584975</v>
      </c>
      <c r="G151" s="5">
        <v>3460.0023841502843</v>
      </c>
      <c r="J151" s="5">
        <v>185</v>
      </c>
      <c r="K151" s="5">
        <v>687125.15936218412</v>
      </c>
      <c r="L151" s="5">
        <v>-5269.5993621840607</v>
      </c>
    </row>
    <row r="152" spans="1:12">
      <c r="A152" s="5">
        <v>147</v>
      </c>
      <c r="B152" s="5">
        <v>598163.83565614442</v>
      </c>
      <c r="C152" s="5">
        <v>3405.0343438555719</v>
      </c>
      <c r="E152" s="5">
        <v>147</v>
      </c>
      <c r="F152" s="5">
        <v>598163.83565614442</v>
      </c>
      <c r="G152" s="5">
        <v>3405.0343438555719</v>
      </c>
      <c r="J152" s="5">
        <v>240</v>
      </c>
      <c r="K152" s="5">
        <v>742090.07946572604</v>
      </c>
      <c r="L152" s="5">
        <v>-5019.89946572599</v>
      </c>
    </row>
    <row r="153" spans="1:12">
      <c r="A153" s="5">
        <v>148</v>
      </c>
      <c r="B153" s="5">
        <v>578931.93701505428</v>
      </c>
      <c r="C153" s="5">
        <v>-7967.0970150543144</v>
      </c>
      <c r="E153" s="5">
        <v>216</v>
      </c>
      <c r="F153" s="5">
        <v>833567.14742089505</v>
      </c>
      <c r="G153" s="5">
        <v>3341.0925791049376</v>
      </c>
      <c r="J153" s="5">
        <v>319</v>
      </c>
      <c r="K153" s="5">
        <v>731771.82966896682</v>
      </c>
      <c r="L153" s="5">
        <v>-4995.6096689668484</v>
      </c>
    </row>
    <row r="154" spans="1:12">
      <c r="A154" s="5">
        <v>149</v>
      </c>
      <c r="B154" s="5">
        <v>648021.06532969477</v>
      </c>
      <c r="C154" s="5">
        <v>-33996.155329694739</v>
      </c>
      <c r="E154" s="5">
        <v>15</v>
      </c>
      <c r="F154" s="5">
        <v>743504.26640230091</v>
      </c>
      <c r="G154" s="5">
        <v>2996.8235976990545</v>
      </c>
      <c r="J154" s="5">
        <v>28</v>
      </c>
      <c r="K154" s="5">
        <v>706397.52724305482</v>
      </c>
      <c r="L154" s="5">
        <v>-4755.5572430548491</v>
      </c>
    </row>
    <row r="155" spans="1:12">
      <c r="A155" s="5">
        <v>150</v>
      </c>
      <c r="B155" s="5">
        <v>680058.68646234937</v>
      </c>
      <c r="C155" s="5">
        <v>32809.663537650602</v>
      </c>
      <c r="E155" s="5">
        <v>259</v>
      </c>
      <c r="F155" s="5">
        <v>744175.9252360781</v>
      </c>
      <c r="G155" s="5">
        <v>1939.6647639218718</v>
      </c>
      <c r="J155" s="5">
        <v>286</v>
      </c>
      <c r="K155" s="5">
        <v>637663.21328956808</v>
      </c>
      <c r="L155" s="5">
        <v>-4653.6832895680564</v>
      </c>
    </row>
    <row r="156" spans="1:12">
      <c r="A156" s="5">
        <v>151</v>
      </c>
      <c r="B156" s="5">
        <v>646506.90470711491</v>
      </c>
      <c r="C156" s="5">
        <v>50237.245292885113</v>
      </c>
      <c r="E156" s="5">
        <v>36</v>
      </c>
      <c r="F156" s="5">
        <v>799661.9674639696</v>
      </c>
      <c r="G156" s="5">
        <v>1317.8125360304257</v>
      </c>
      <c r="J156" s="5">
        <v>262</v>
      </c>
      <c r="K156" s="5">
        <v>609835.19865817914</v>
      </c>
      <c r="L156" s="5">
        <v>-4083.8686581791844</v>
      </c>
    </row>
    <row r="157" spans="1:12">
      <c r="A157" s="5">
        <v>152</v>
      </c>
      <c r="B157" s="5">
        <v>679939.10763097997</v>
      </c>
      <c r="C157" s="5">
        <v>45908.882369020022</v>
      </c>
      <c r="E157" s="5">
        <v>176</v>
      </c>
      <c r="F157" s="5">
        <v>802977.625561364</v>
      </c>
      <c r="G157" s="5">
        <v>1286.3744386360049</v>
      </c>
      <c r="J157" s="5">
        <v>172</v>
      </c>
      <c r="K157" s="5">
        <v>683549.57973967528</v>
      </c>
      <c r="L157" s="5">
        <v>-3818.0097396753263</v>
      </c>
    </row>
    <row r="158" spans="1:12">
      <c r="A158" s="5">
        <v>153</v>
      </c>
      <c r="B158" s="5">
        <v>787348.8906895814</v>
      </c>
      <c r="C158" s="5">
        <v>-2320.6406895813998</v>
      </c>
      <c r="E158" s="5">
        <v>318</v>
      </c>
      <c r="F158" s="5">
        <v>535864.08800149115</v>
      </c>
      <c r="G158" s="5">
        <v>981.33199850888923</v>
      </c>
      <c r="J158" s="5">
        <v>106</v>
      </c>
      <c r="K158" s="5">
        <v>787474.74130878795</v>
      </c>
      <c r="L158" s="5">
        <v>-3676.8513087879401</v>
      </c>
    </row>
    <row r="159" spans="1:12">
      <c r="A159" s="5">
        <v>154</v>
      </c>
      <c r="B159" s="5">
        <v>680144.72795479943</v>
      </c>
      <c r="C159" s="5">
        <v>18347.942045200616</v>
      </c>
      <c r="E159" s="5">
        <v>23</v>
      </c>
      <c r="F159" s="5">
        <v>554991.61529607966</v>
      </c>
      <c r="G159" s="5">
        <v>937.78470392036252</v>
      </c>
      <c r="J159" s="5">
        <v>303</v>
      </c>
      <c r="K159" s="5">
        <v>734233.14136127441</v>
      </c>
      <c r="L159" s="5">
        <v>-3343.1313612743979</v>
      </c>
    </row>
    <row r="160" spans="1:12">
      <c r="A160" s="5">
        <v>155</v>
      </c>
      <c r="B160" s="5">
        <v>709912.42854831007</v>
      </c>
      <c r="C160" s="5">
        <v>-24082.188548310078</v>
      </c>
      <c r="E160" s="5">
        <v>313</v>
      </c>
      <c r="F160" s="5">
        <v>701562.42823636066</v>
      </c>
      <c r="G160" s="5">
        <v>490.04176363931037</v>
      </c>
      <c r="J160" s="5">
        <v>99</v>
      </c>
      <c r="K160" s="5">
        <v>609088.89708604687</v>
      </c>
      <c r="L160" s="5">
        <v>-3313.5670860469108</v>
      </c>
    </row>
    <row r="161" spans="1:12">
      <c r="A161" s="5">
        <v>156</v>
      </c>
      <c r="B161" s="5">
        <v>686237.50861954538</v>
      </c>
      <c r="C161" s="5">
        <v>16081.431380454567</v>
      </c>
      <c r="E161" s="5">
        <v>49</v>
      </c>
      <c r="F161" s="5">
        <v>622419.10396657011</v>
      </c>
      <c r="G161" s="5">
        <v>392.63603342988063</v>
      </c>
      <c r="J161" s="5">
        <v>297</v>
      </c>
      <c r="K161" s="5">
        <v>671147.08477489976</v>
      </c>
      <c r="L161" s="5">
        <v>-2687.7147748997668</v>
      </c>
    </row>
    <row r="162" spans="1:12">
      <c r="A162" s="5">
        <v>157</v>
      </c>
      <c r="B162" s="5">
        <v>716768.67548250535</v>
      </c>
      <c r="C162" s="5">
        <v>-16690.355482505402</v>
      </c>
      <c r="E162" s="5">
        <v>48</v>
      </c>
      <c r="F162" s="5">
        <v>585552.70293485781</v>
      </c>
      <c r="G162" s="5">
        <v>-186.97293485782575</v>
      </c>
      <c r="J162" s="5">
        <v>153</v>
      </c>
      <c r="K162" s="5">
        <v>787348.8906895814</v>
      </c>
      <c r="L162" s="5">
        <v>-2320.6406895813998</v>
      </c>
    </row>
    <row r="163" spans="1:12">
      <c r="A163" s="5">
        <v>158</v>
      </c>
      <c r="B163" s="5">
        <v>626607.70275330066</v>
      </c>
      <c r="C163" s="5">
        <v>-24605.382753300713</v>
      </c>
      <c r="E163" s="5">
        <v>211</v>
      </c>
      <c r="F163" s="5">
        <v>947086.58365800825</v>
      </c>
      <c r="G163" s="5">
        <v>-253.04365800821688</v>
      </c>
      <c r="J163" s="5">
        <v>84</v>
      </c>
      <c r="K163" s="5">
        <v>570833.5497341617</v>
      </c>
      <c r="L163" s="5">
        <v>-1732.7697341616731</v>
      </c>
    </row>
    <row r="164" spans="1:12">
      <c r="A164" s="5">
        <v>159</v>
      </c>
      <c r="B164" s="5">
        <v>695134.8415807219</v>
      </c>
      <c r="C164" s="5">
        <v>29081.22841927805</v>
      </c>
      <c r="E164" s="5">
        <v>296</v>
      </c>
      <c r="F164" s="5">
        <v>488227.70945801347</v>
      </c>
      <c r="G164" s="5">
        <v>-489.4494580134633</v>
      </c>
      <c r="J164" s="5">
        <v>111</v>
      </c>
      <c r="K164" s="5">
        <v>635158.07026994007</v>
      </c>
      <c r="L164" s="5">
        <v>-1663.860269940109</v>
      </c>
    </row>
    <row r="165" spans="1:12">
      <c r="A165" s="5">
        <v>160</v>
      </c>
      <c r="B165" s="5">
        <v>549642.86211365578</v>
      </c>
      <c r="C165" s="5">
        <v>71330.16788634425</v>
      </c>
      <c r="E165" s="5">
        <v>25</v>
      </c>
      <c r="F165" s="5">
        <v>813272.27354235668</v>
      </c>
      <c r="G165" s="5">
        <v>-1501.1335423566634</v>
      </c>
      <c r="J165" s="5">
        <v>167</v>
      </c>
      <c r="K165" s="5">
        <v>667096.27897952381</v>
      </c>
      <c r="L165" s="5">
        <v>-1561.5789795238525</v>
      </c>
    </row>
    <row r="166" spans="1:12">
      <c r="A166" s="5">
        <v>161</v>
      </c>
      <c r="B166" s="5">
        <v>698909.38793023746</v>
      </c>
      <c r="C166" s="5">
        <v>-48429.327930237399</v>
      </c>
      <c r="E166" s="5">
        <v>167</v>
      </c>
      <c r="F166" s="5">
        <v>667096.27897952381</v>
      </c>
      <c r="G166" s="5">
        <v>-1561.5789795238525</v>
      </c>
      <c r="J166" s="5">
        <v>25</v>
      </c>
      <c r="K166" s="5">
        <v>813272.27354235668</v>
      </c>
      <c r="L166" s="5">
        <v>-1501.1335423566634</v>
      </c>
    </row>
    <row r="167" spans="1:12">
      <c r="A167" s="5">
        <v>162</v>
      </c>
      <c r="B167" s="5">
        <v>701523.25496888452</v>
      </c>
      <c r="C167" s="5">
        <v>76775.625031115487</v>
      </c>
      <c r="E167" s="5">
        <v>111</v>
      </c>
      <c r="F167" s="5">
        <v>635158.07026994007</v>
      </c>
      <c r="G167" s="5">
        <v>-1663.860269940109</v>
      </c>
      <c r="J167" s="5">
        <v>296</v>
      </c>
      <c r="K167" s="5">
        <v>488227.70945801347</v>
      </c>
      <c r="L167" s="5">
        <v>-489.4494580134633</v>
      </c>
    </row>
    <row r="168" spans="1:12">
      <c r="A168" s="5">
        <v>163</v>
      </c>
      <c r="B168" s="5">
        <v>735223.87013704947</v>
      </c>
      <c r="C168" s="5">
        <v>-58127.160137049505</v>
      </c>
      <c r="E168" s="5">
        <v>84</v>
      </c>
      <c r="F168" s="5">
        <v>570833.5497341617</v>
      </c>
      <c r="G168" s="5">
        <v>-1732.7697341616731</v>
      </c>
      <c r="J168" s="5">
        <v>211</v>
      </c>
      <c r="K168" s="5">
        <v>947086.58365800825</v>
      </c>
      <c r="L168" s="5">
        <v>-253.04365800821688</v>
      </c>
    </row>
    <row r="169" spans="1:12">
      <c r="A169" s="5">
        <v>164</v>
      </c>
      <c r="B169" s="5">
        <v>687973.40020533546</v>
      </c>
      <c r="C169" s="5">
        <v>4035.2397946645506</v>
      </c>
      <c r="E169" s="5">
        <v>153</v>
      </c>
      <c r="F169" s="5">
        <v>787348.8906895814</v>
      </c>
      <c r="G169" s="5">
        <v>-2320.6406895813998</v>
      </c>
      <c r="J169" s="5">
        <v>48</v>
      </c>
      <c r="K169" s="5">
        <v>585552.70293485781</v>
      </c>
      <c r="L169" s="5">
        <v>-186.97293485782575</v>
      </c>
    </row>
    <row r="170" spans="1:12">
      <c r="A170" s="5">
        <v>165</v>
      </c>
      <c r="B170" s="5">
        <v>790531.17673894553</v>
      </c>
      <c r="C170" s="5">
        <v>35266.733261054498</v>
      </c>
      <c r="E170" s="5">
        <v>297</v>
      </c>
      <c r="F170" s="5">
        <v>671147.08477489976</v>
      </c>
      <c r="G170" s="5">
        <v>-2687.7147748997668</v>
      </c>
      <c r="J170" s="5">
        <v>49</v>
      </c>
      <c r="K170" s="5">
        <v>622419.10396657011</v>
      </c>
      <c r="L170" s="5">
        <v>392.63603342988063</v>
      </c>
    </row>
    <row r="171" spans="1:12">
      <c r="A171" s="5">
        <v>166</v>
      </c>
      <c r="B171" s="5">
        <v>732867.5560629773</v>
      </c>
      <c r="C171" s="5">
        <v>-26582.036062977277</v>
      </c>
      <c r="E171" s="5">
        <v>99</v>
      </c>
      <c r="F171" s="5">
        <v>609088.89708604687</v>
      </c>
      <c r="G171" s="5">
        <v>-3313.5670860469108</v>
      </c>
      <c r="J171" s="5">
        <v>313</v>
      </c>
      <c r="K171" s="5">
        <v>701562.42823636066</v>
      </c>
      <c r="L171" s="5">
        <v>490.04176363931037</v>
      </c>
    </row>
    <row r="172" spans="1:12">
      <c r="A172" s="5">
        <v>167</v>
      </c>
      <c r="B172" s="5">
        <v>667096.27897952381</v>
      </c>
      <c r="C172" s="5">
        <v>-1561.5789795238525</v>
      </c>
      <c r="E172" s="5">
        <v>303</v>
      </c>
      <c r="F172" s="5">
        <v>734233.14136127441</v>
      </c>
      <c r="G172" s="5">
        <v>-3343.1313612743979</v>
      </c>
      <c r="J172" s="5">
        <v>23</v>
      </c>
      <c r="K172" s="5">
        <v>554991.61529607966</v>
      </c>
      <c r="L172" s="5">
        <v>937.78470392036252</v>
      </c>
    </row>
    <row r="173" spans="1:12">
      <c r="A173" s="5">
        <v>168</v>
      </c>
      <c r="B173" s="5">
        <v>803913.05017844331</v>
      </c>
      <c r="C173" s="5">
        <v>16816.239821556723</v>
      </c>
      <c r="E173" s="5">
        <v>106</v>
      </c>
      <c r="F173" s="5">
        <v>787474.74130878795</v>
      </c>
      <c r="G173" s="5">
        <v>-3676.8513087879401</v>
      </c>
      <c r="J173" s="5">
        <v>318</v>
      </c>
      <c r="K173" s="5">
        <v>535864.08800149115</v>
      </c>
      <c r="L173" s="5">
        <v>981.33199850888923</v>
      </c>
    </row>
    <row r="174" spans="1:12">
      <c r="A174" s="5">
        <v>169</v>
      </c>
      <c r="B174" s="5">
        <v>768819.69511672272</v>
      </c>
      <c r="C174" s="5">
        <v>-28987.965116722742</v>
      </c>
      <c r="E174" s="5">
        <v>172</v>
      </c>
      <c r="F174" s="5">
        <v>683549.57973967528</v>
      </c>
      <c r="G174" s="5">
        <v>-3818.0097396753263</v>
      </c>
      <c r="J174" s="5">
        <v>176</v>
      </c>
      <c r="K174" s="5">
        <v>802977.625561364</v>
      </c>
      <c r="L174" s="5">
        <v>1286.3744386360049</v>
      </c>
    </row>
    <row r="175" spans="1:12">
      <c r="A175" s="5">
        <v>170</v>
      </c>
      <c r="B175" s="5">
        <v>677413.13088325143</v>
      </c>
      <c r="C175" s="5">
        <v>-83775.990883251419</v>
      </c>
      <c r="E175" s="5">
        <v>262</v>
      </c>
      <c r="F175" s="5">
        <v>609835.19865817914</v>
      </c>
      <c r="G175" s="5">
        <v>-4083.8686581791844</v>
      </c>
      <c r="J175" s="5">
        <v>36</v>
      </c>
      <c r="K175" s="5">
        <v>799661.9674639696</v>
      </c>
      <c r="L175" s="5">
        <v>1317.8125360304257</v>
      </c>
    </row>
    <row r="176" spans="1:12">
      <c r="A176" s="5">
        <v>171</v>
      </c>
      <c r="B176" s="5">
        <v>740107.36661866913</v>
      </c>
      <c r="C176" s="5">
        <v>29595.393381330883</v>
      </c>
      <c r="E176" s="5">
        <v>286</v>
      </c>
      <c r="F176" s="5">
        <v>637663.21328956808</v>
      </c>
      <c r="G176" s="5">
        <v>-4653.6832895680564</v>
      </c>
      <c r="J176" s="5">
        <v>259</v>
      </c>
      <c r="K176" s="5">
        <v>744175.9252360781</v>
      </c>
      <c r="L176" s="5">
        <v>1939.6647639218718</v>
      </c>
    </row>
    <row r="177" spans="1:12">
      <c r="A177" s="5">
        <v>172</v>
      </c>
      <c r="B177" s="5">
        <v>683549.57973967528</v>
      </c>
      <c r="C177" s="5">
        <v>-3818.0097396753263</v>
      </c>
      <c r="E177" s="5">
        <v>28</v>
      </c>
      <c r="F177" s="5">
        <v>706397.52724305482</v>
      </c>
      <c r="G177" s="5">
        <v>-4755.5572430548491</v>
      </c>
      <c r="J177" s="5">
        <v>15</v>
      </c>
      <c r="K177" s="5">
        <v>743504.26640230091</v>
      </c>
      <c r="L177" s="5">
        <v>2996.8235976990545</v>
      </c>
    </row>
    <row r="178" spans="1:12">
      <c r="A178" s="5">
        <v>173</v>
      </c>
      <c r="B178" s="5">
        <v>749555.80295868637</v>
      </c>
      <c r="C178" s="5">
        <v>30788.377041313681</v>
      </c>
      <c r="E178" s="5">
        <v>319</v>
      </c>
      <c r="F178" s="5">
        <v>731771.82966896682</v>
      </c>
      <c r="G178" s="5">
        <v>-4995.6096689668484</v>
      </c>
      <c r="J178" s="5">
        <v>216</v>
      </c>
      <c r="K178" s="5">
        <v>833567.14742089505</v>
      </c>
      <c r="L178" s="5">
        <v>3341.0925791049376</v>
      </c>
    </row>
    <row r="179" spans="1:12">
      <c r="A179" s="5">
        <v>174</v>
      </c>
      <c r="B179" s="5">
        <v>753318.99402509455</v>
      </c>
      <c r="C179" s="5">
        <v>-31954.884025094565</v>
      </c>
      <c r="E179" s="5">
        <v>240</v>
      </c>
      <c r="F179" s="5">
        <v>742090.07946572604</v>
      </c>
      <c r="G179" s="5">
        <v>-5019.89946572599</v>
      </c>
      <c r="J179" s="5">
        <v>147</v>
      </c>
      <c r="K179" s="5">
        <v>598163.83565614442</v>
      </c>
      <c r="L179" s="5">
        <v>3405.0343438555719</v>
      </c>
    </row>
    <row r="180" spans="1:12">
      <c r="A180" s="5">
        <v>175</v>
      </c>
      <c r="B180" s="5">
        <v>791713.44789563341</v>
      </c>
      <c r="C180" s="5">
        <v>-33575.157895633369</v>
      </c>
      <c r="E180" s="5">
        <v>185</v>
      </c>
      <c r="F180" s="5">
        <v>687125.15936218412</v>
      </c>
      <c r="G180" s="5">
        <v>-5269.5993621840607</v>
      </c>
      <c r="J180" s="5">
        <v>85</v>
      </c>
      <c r="K180" s="5">
        <v>570976.28761584975</v>
      </c>
      <c r="L180" s="5">
        <v>3460.0023841502843</v>
      </c>
    </row>
    <row r="181" spans="1:12">
      <c r="A181" s="5">
        <v>176</v>
      </c>
      <c r="B181" s="5">
        <v>802977.625561364</v>
      </c>
      <c r="C181" s="5">
        <v>1286.3744386360049</v>
      </c>
      <c r="E181" s="5">
        <v>295</v>
      </c>
      <c r="F181" s="5">
        <v>505548.93165007111</v>
      </c>
      <c r="G181" s="5">
        <v>-6578.6116500711069</v>
      </c>
      <c r="J181" s="5">
        <v>117</v>
      </c>
      <c r="K181" s="5">
        <v>711323.07181745674</v>
      </c>
      <c r="L181" s="5">
        <v>3619.3581825433066</v>
      </c>
    </row>
    <row r="182" spans="1:12">
      <c r="A182" s="5">
        <v>177</v>
      </c>
      <c r="B182" s="5">
        <v>902266.98806195019</v>
      </c>
      <c r="C182" s="5">
        <v>-14729.238061950193</v>
      </c>
      <c r="E182" s="5">
        <v>10</v>
      </c>
      <c r="F182" s="5">
        <v>785951.93388917553</v>
      </c>
      <c r="G182" s="5">
        <v>-6940.9938891755883</v>
      </c>
      <c r="J182" s="5">
        <v>164</v>
      </c>
      <c r="K182" s="5">
        <v>687973.40020533546</v>
      </c>
      <c r="L182" s="5">
        <v>4035.2397946645506</v>
      </c>
    </row>
    <row r="183" spans="1:12">
      <c r="A183" s="5">
        <v>178</v>
      </c>
      <c r="B183" s="5">
        <v>699442.30281067442</v>
      </c>
      <c r="C183" s="5">
        <v>84139.697189325583</v>
      </c>
      <c r="E183" s="5">
        <v>35</v>
      </c>
      <c r="F183" s="5">
        <v>805949.58818054618</v>
      </c>
      <c r="G183" s="5">
        <v>-6997.4181805461412</v>
      </c>
      <c r="J183" s="5">
        <v>236</v>
      </c>
      <c r="K183" s="5">
        <v>665581.16562859667</v>
      </c>
      <c r="L183" s="5">
        <v>5048.3143714033067</v>
      </c>
    </row>
    <row r="184" spans="1:12">
      <c r="A184" s="5">
        <v>179</v>
      </c>
      <c r="B184" s="5">
        <v>753968.7107748139</v>
      </c>
      <c r="C184" s="5">
        <v>27986.809225186124</v>
      </c>
      <c r="E184" s="5">
        <v>51</v>
      </c>
      <c r="F184" s="5">
        <v>633215.77151678246</v>
      </c>
      <c r="G184" s="5">
        <v>-7542.9115167824784</v>
      </c>
      <c r="J184" s="5">
        <v>258</v>
      </c>
      <c r="K184" s="5">
        <v>692764.71930508025</v>
      </c>
      <c r="L184" s="5">
        <v>5123.3706949197222</v>
      </c>
    </row>
    <row r="185" spans="1:12">
      <c r="A185" s="5">
        <v>180</v>
      </c>
      <c r="B185" s="5">
        <v>833368.57192306581</v>
      </c>
      <c r="C185" s="5">
        <v>64662.468076934223</v>
      </c>
      <c r="E185" s="5">
        <v>204</v>
      </c>
      <c r="F185" s="5">
        <v>658413.39135418832</v>
      </c>
      <c r="G185" s="5">
        <v>-7617.9013541883323</v>
      </c>
      <c r="J185" s="5">
        <v>294</v>
      </c>
      <c r="K185" s="5">
        <v>527963.54923854698</v>
      </c>
      <c r="L185" s="5">
        <v>5157.710761453025</v>
      </c>
    </row>
    <row r="186" spans="1:12">
      <c r="A186" s="5">
        <v>181</v>
      </c>
      <c r="B186" s="5">
        <v>865930.18335690594</v>
      </c>
      <c r="C186" s="5">
        <v>-10588.90335690591</v>
      </c>
      <c r="E186" s="5">
        <v>73</v>
      </c>
      <c r="F186" s="5">
        <v>623775.41328039626</v>
      </c>
      <c r="G186" s="5">
        <v>-7706.003280396224</v>
      </c>
      <c r="J186" s="5">
        <v>243</v>
      </c>
      <c r="K186" s="5">
        <v>822612.02625494997</v>
      </c>
      <c r="L186" s="5">
        <v>5607.6437450500671</v>
      </c>
    </row>
    <row r="187" spans="1:12">
      <c r="A187" s="5">
        <v>182</v>
      </c>
      <c r="B187" s="5">
        <v>766118.13516858662</v>
      </c>
      <c r="C187" s="5">
        <v>-14724.25516858662</v>
      </c>
      <c r="E187" s="5">
        <v>93</v>
      </c>
      <c r="F187" s="5">
        <v>593829.1145931012</v>
      </c>
      <c r="G187" s="5">
        <v>-7891.6345931012183</v>
      </c>
      <c r="J187" s="5">
        <v>251</v>
      </c>
      <c r="K187" s="5">
        <v>642173.99211872125</v>
      </c>
      <c r="L187" s="5">
        <v>5779.7878812787822</v>
      </c>
    </row>
    <row r="188" spans="1:12">
      <c r="A188" s="5">
        <v>183</v>
      </c>
      <c r="B188" s="5">
        <v>806219.69672781532</v>
      </c>
      <c r="C188" s="5">
        <v>-45142.616727815359</v>
      </c>
      <c r="E188" s="5">
        <v>148</v>
      </c>
      <c r="F188" s="5">
        <v>578931.93701505428</v>
      </c>
      <c r="G188" s="5">
        <v>-7967.0970150543144</v>
      </c>
      <c r="J188" s="5">
        <v>89</v>
      </c>
      <c r="K188" s="5">
        <v>705342.95638520375</v>
      </c>
      <c r="L188" s="5">
        <v>5870.5036147962091</v>
      </c>
    </row>
    <row r="189" spans="1:12">
      <c r="A189" s="5">
        <v>184</v>
      </c>
      <c r="B189" s="5">
        <v>834924.15614802821</v>
      </c>
      <c r="C189" s="5">
        <v>-15263.566148028243</v>
      </c>
      <c r="E189" s="5">
        <v>226</v>
      </c>
      <c r="F189" s="5">
        <v>544525.13447361474</v>
      </c>
      <c r="G189" s="5">
        <v>-7979.6444736147532</v>
      </c>
      <c r="J189" s="5">
        <v>97</v>
      </c>
      <c r="K189" s="5">
        <v>685049.09120455093</v>
      </c>
      <c r="L189" s="5">
        <v>6064.5287954490632</v>
      </c>
    </row>
    <row r="190" spans="1:12">
      <c r="A190" s="5">
        <v>185</v>
      </c>
      <c r="B190" s="5">
        <v>687125.15936218412</v>
      </c>
      <c r="C190" s="5">
        <v>-5269.5993621840607</v>
      </c>
      <c r="E190" s="5">
        <v>212</v>
      </c>
      <c r="F190" s="5">
        <v>770246.76901597227</v>
      </c>
      <c r="G190" s="5">
        <v>-8283.5390159722883</v>
      </c>
      <c r="J190" s="5">
        <v>248</v>
      </c>
      <c r="K190" s="5">
        <v>673527.90333505266</v>
      </c>
      <c r="L190" s="5">
        <v>6360.8366649473319</v>
      </c>
    </row>
    <row r="191" spans="1:12">
      <c r="A191" s="5">
        <v>186</v>
      </c>
      <c r="B191" s="5">
        <v>635661.53575496376</v>
      </c>
      <c r="C191" s="5">
        <v>42649.634245036286</v>
      </c>
      <c r="E191" s="5">
        <v>289</v>
      </c>
      <c r="F191" s="5">
        <v>737903.07639210101</v>
      </c>
      <c r="G191" s="5">
        <v>-8478.6563921009656</v>
      </c>
      <c r="J191" s="5">
        <v>222</v>
      </c>
      <c r="K191" s="5">
        <v>665961.16280639893</v>
      </c>
      <c r="L191" s="5">
        <v>6709.3771936011035</v>
      </c>
    </row>
    <row r="192" spans="1:12">
      <c r="A192" s="5">
        <v>187</v>
      </c>
      <c r="B192" s="5">
        <v>674749.24223394319</v>
      </c>
      <c r="C192" s="5">
        <v>91157.707766056759</v>
      </c>
      <c r="E192" s="5">
        <v>65</v>
      </c>
      <c r="F192" s="5">
        <v>793184.92297975183</v>
      </c>
      <c r="G192" s="5">
        <v>-8682.2429797517834</v>
      </c>
      <c r="J192" s="5">
        <v>113</v>
      </c>
      <c r="K192" s="5">
        <v>771487.1045574717</v>
      </c>
      <c r="L192" s="5">
        <v>6910.865442528273</v>
      </c>
    </row>
    <row r="193" spans="1:12">
      <c r="A193" s="5">
        <v>188</v>
      </c>
      <c r="B193" s="5">
        <v>748876.65951659693</v>
      </c>
      <c r="C193" s="5">
        <v>-36330.279516596929</v>
      </c>
      <c r="E193" s="5">
        <v>136</v>
      </c>
      <c r="F193" s="5">
        <v>538206.51128337206</v>
      </c>
      <c r="G193" s="5">
        <v>-9130.5612833721098</v>
      </c>
      <c r="J193" s="5">
        <v>27</v>
      </c>
      <c r="K193" s="5">
        <v>776525.57529354666</v>
      </c>
      <c r="L193" s="5">
        <v>7147.2447064532898</v>
      </c>
    </row>
    <row r="194" spans="1:12">
      <c r="A194" s="5">
        <v>189</v>
      </c>
      <c r="B194" s="5">
        <v>591557.45879977872</v>
      </c>
      <c r="C194" s="5">
        <v>34436.371200221241</v>
      </c>
      <c r="E194" s="5">
        <v>66</v>
      </c>
      <c r="F194" s="5">
        <v>726341.23802388611</v>
      </c>
      <c r="G194" s="5">
        <v>-9199.6880238860613</v>
      </c>
      <c r="J194" s="5">
        <v>223</v>
      </c>
      <c r="K194" s="5">
        <v>725440.79964540491</v>
      </c>
      <c r="L194" s="5">
        <v>7227.1203545951284</v>
      </c>
    </row>
    <row r="195" spans="1:12">
      <c r="A195" s="5">
        <v>190</v>
      </c>
      <c r="B195" s="5">
        <v>528915.73949545505</v>
      </c>
      <c r="C195" s="5">
        <v>22047.190504544997</v>
      </c>
      <c r="E195" s="5">
        <v>87</v>
      </c>
      <c r="F195" s="5">
        <v>624173.86712082557</v>
      </c>
      <c r="G195" s="5">
        <v>-9577.5471208256204</v>
      </c>
      <c r="J195" s="5">
        <v>271</v>
      </c>
      <c r="K195" s="5">
        <v>791854.62602629699</v>
      </c>
      <c r="L195" s="5">
        <v>7901.8339737029746</v>
      </c>
    </row>
    <row r="196" spans="1:12">
      <c r="A196" s="5">
        <v>191</v>
      </c>
      <c r="B196" s="5">
        <v>458394.51432378474</v>
      </c>
      <c r="C196" s="5">
        <v>-15118.924323784711</v>
      </c>
      <c r="E196" s="5">
        <v>42</v>
      </c>
      <c r="F196" s="5">
        <v>542581.75323663536</v>
      </c>
      <c r="G196" s="5">
        <v>-9937.2932366353925</v>
      </c>
      <c r="J196" s="5">
        <v>261</v>
      </c>
      <c r="K196" s="5">
        <v>520824.57648103317</v>
      </c>
      <c r="L196" s="5">
        <v>8028.0435189668206</v>
      </c>
    </row>
    <row r="197" spans="1:12">
      <c r="A197" s="5">
        <v>192</v>
      </c>
      <c r="B197" s="5">
        <v>589936.65719357575</v>
      </c>
      <c r="C197" s="5">
        <v>-35924.587193575804</v>
      </c>
      <c r="E197" s="5">
        <v>22</v>
      </c>
      <c r="F197" s="5">
        <v>501868.09998446942</v>
      </c>
      <c r="G197" s="5">
        <v>-9962.9699844694114</v>
      </c>
      <c r="J197" s="5">
        <v>109</v>
      </c>
      <c r="K197" s="5">
        <v>701395.58908533922</v>
      </c>
      <c r="L197" s="5">
        <v>8082.8009146607947</v>
      </c>
    </row>
    <row r="198" spans="1:12">
      <c r="A198" s="5">
        <v>193</v>
      </c>
      <c r="B198" s="5">
        <v>701265.53491498984</v>
      </c>
      <c r="C198" s="5">
        <v>-57836.684914989863</v>
      </c>
      <c r="E198" s="5">
        <v>201</v>
      </c>
      <c r="F198" s="5">
        <v>608920.80971232348</v>
      </c>
      <c r="G198" s="5">
        <v>-10015.909712323453</v>
      </c>
      <c r="J198" s="5">
        <v>287</v>
      </c>
      <c r="K198" s="5">
        <v>601661.82797522505</v>
      </c>
      <c r="L198" s="5">
        <v>8287.1720247749472</v>
      </c>
    </row>
    <row r="199" spans="1:12">
      <c r="A199" s="5">
        <v>194</v>
      </c>
      <c r="B199" s="5">
        <v>632571.39938080916</v>
      </c>
      <c r="C199" s="5">
        <v>-20647.129380809143</v>
      </c>
      <c r="E199" s="5">
        <v>130</v>
      </c>
      <c r="F199" s="5">
        <v>812170.7048425558</v>
      </c>
      <c r="G199" s="5">
        <v>-10340.354842555826</v>
      </c>
      <c r="J199" s="5">
        <v>105</v>
      </c>
      <c r="K199" s="5">
        <v>718823.36183256807</v>
      </c>
      <c r="L199" s="5">
        <v>8403.8381674318807</v>
      </c>
    </row>
    <row r="200" spans="1:12">
      <c r="A200" s="5">
        <v>195</v>
      </c>
      <c r="B200" s="5">
        <v>578385.57848991523</v>
      </c>
      <c r="C200" s="5">
        <v>-18963.558489915216</v>
      </c>
      <c r="E200" s="5">
        <v>181</v>
      </c>
      <c r="F200" s="5">
        <v>865930.18335690594</v>
      </c>
      <c r="G200" s="5">
        <v>-10588.90335690591</v>
      </c>
      <c r="J200" s="5">
        <v>30</v>
      </c>
      <c r="K200" s="5">
        <v>528505.74285452487</v>
      </c>
      <c r="L200" s="5">
        <v>8878.0471454751678</v>
      </c>
    </row>
    <row r="201" spans="1:12">
      <c r="A201" s="5">
        <v>196</v>
      </c>
      <c r="B201" s="5">
        <v>547974.61887771415</v>
      </c>
      <c r="C201" s="5">
        <v>-98509.558877714153</v>
      </c>
      <c r="E201" s="5">
        <v>5</v>
      </c>
      <c r="F201" s="5">
        <v>752091.49902621447</v>
      </c>
      <c r="G201" s="5">
        <v>-10750.059026214527</v>
      </c>
      <c r="J201" s="5">
        <v>246</v>
      </c>
      <c r="K201" s="5">
        <v>741069.82872122945</v>
      </c>
      <c r="L201" s="5">
        <v>9401.5112787705148</v>
      </c>
    </row>
    <row r="202" spans="1:12">
      <c r="A202" s="5">
        <v>197</v>
      </c>
      <c r="B202" s="5">
        <v>647524.07891033858</v>
      </c>
      <c r="C202" s="5">
        <v>43923.351089661475</v>
      </c>
      <c r="E202" s="5">
        <v>279</v>
      </c>
      <c r="F202" s="5">
        <v>767432.19692038861</v>
      </c>
      <c r="G202" s="5">
        <v>-10812.426920388592</v>
      </c>
      <c r="J202" s="5">
        <v>68</v>
      </c>
      <c r="K202" s="5">
        <v>730906.34311607864</v>
      </c>
      <c r="L202" s="5">
        <v>9590.3068839213811</v>
      </c>
    </row>
    <row r="203" spans="1:12">
      <c r="A203" s="5">
        <v>198</v>
      </c>
      <c r="B203" s="5">
        <v>611898.09376049659</v>
      </c>
      <c r="C203" s="5">
        <v>-37831.483760496601</v>
      </c>
      <c r="E203" s="5">
        <v>252</v>
      </c>
      <c r="F203" s="5">
        <v>740742.28367687878</v>
      </c>
      <c r="G203" s="5">
        <v>-11301.833676878829</v>
      </c>
      <c r="J203" s="5">
        <v>292</v>
      </c>
      <c r="K203" s="5">
        <v>692246.51444002381</v>
      </c>
      <c r="L203" s="5">
        <v>9822.405559976236</v>
      </c>
    </row>
    <row r="204" spans="1:12">
      <c r="A204" s="5">
        <v>199</v>
      </c>
      <c r="B204" s="5">
        <v>615568.02390670101</v>
      </c>
      <c r="C204" s="5">
        <v>-36618.183906701044</v>
      </c>
      <c r="E204" s="5">
        <v>247</v>
      </c>
      <c r="F204" s="5">
        <v>690585.6748318082</v>
      </c>
      <c r="G204" s="5">
        <v>-11354.814831808209</v>
      </c>
      <c r="J204" s="5">
        <v>265</v>
      </c>
      <c r="K204" s="5">
        <v>699149.70115659246</v>
      </c>
      <c r="L204" s="5">
        <v>9835.4888434074819</v>
      </c>
    </row>
    <row r="205" spans="1:12">
      <c r="A205" s="5">
        <v>200</v>
      </c>
      <c r="B205" s="5">
        <v>649380.10344687244</v>
      </c>
      <c r="C205" s="5">
        <v>86406.536553127575</v>
      </c>
      <c r="E205" s="5">
        <v>102</v>
      </c>
      <c r="F205" s="5">
        <v>598490.63575987576</v>
      </c>
      <c r="G205" s="5">
        <v>-11863.695759875816</v>
      </c>
      <c r="J205" s="5">
        <v>209</v>
      </c>
      <c r="K205" s="5">
        <v>798605.75095476781</v>
      </c>
      <c r="L205" s="5">
        <v>11840.779045232222</v>
      </c>
    </row>
    <row r="206" spans="1:12">
      <c r="A206" s="5">
        <v>201</v>
      </c>
      <c r="B206" s="5">
        <v>608920.80971232348</v>
      </c>
      <c r="C206" s="5">
        <v>-10015.909712323453</v>
      </c>
      <c r="E206" s="5">
        <v>273</v>
      </c>
      <c r="F206" s="5">
        <v>657204.89699972887</v>
      </c>
      <c r="G206" s="5">
        <v>-12164.926999728894</v>
      </c>
      <c r="J206" s="5">
        <v>140</v>
      </c>
      <c r="K206" s="5">
        <v>634019.71842682164</v>
      </c>
      <c r="L206" s="5">
        <v>12539.991573178326</v>
      </c>
    </row>
    <row r="207" spans="1:12">
      <c r="A207" s="5">
        <v>202</v>
      </c>
      <c r="B207" s="5">
        <v>685374.89289873245</v>
      </c>
      <c r="C207" s="5">
        <v>102340.61710126756</v>
      </c>
      <c r="E207" s="5">
        <v>16</v>
      </c>
      <c r="F207" s="5">
        <v>846275.15714281378</v>
      </c>
      <c r="G207" s="5">
        <v>-12258.137142813765</v>
      </c>
      <c r="J207" s="5">
        <v>135</v>
      </c>
      <c r="K207" s="5">
        <v>580394.40953128913</v>
      </c>
      <c r="L207" s="5">
        <v>12852.84046871087</v>
      </c>
    </row>
    <row r="208" spans="1:12">
      <c r="A208" s="5">
        <v>203</v>
      </c>
      <c r="B208" s="5">
        <v>662034.40643975185</v>
      </c>
      <c r="C208" s="5">
        <v>-54949.48643975181</v>
      </c>
      <c r="E208" s="5">
        <v>96</v>
      </c>
      <c r="F208" s="5">
        <v>621178.35696666839</v>
      </c>
      <c r="G208" s="5">
        <v>-13280.236966668395</v>
      </c>
      <c r="J208" s="5">
        <v>7</v>
      </c>
      <c r="K208" s="5">
        <v>793658.57446289412</v>
      </c>
      <c r="L208" s="5">
        <v>12956.96553710592</v>
      </c>
    </row>
    <row r="209" spans="1:12">
      <c r="A209" s="5">
        <v>204</v>
      </c>
      <c r="B209" s="5">
        <v>658413.39135418832</v>
      </c>
      <c r="C209" s="5">
        <v>-7617.9013541883323</v>
      </c>
      <c r="E209" s="5">
        <v>238</v>
      </c>
      <c r="F209" s="5">
        <v>824312.80120164505</v>
      </c>
      <c r="G209" s="5">
        <v>-13957.781201645033</v>
      </c>
      <c r="J209" s="5">
        <v>205</v>
      </c>
      <c r="K209" s="5">
        <v>811379.56685156061</v>
      </c>
      <c r="L209" s="5">
        <v>13680.95314843941</v>
      </c>
    </row>
    <row r="210" spans="1:12">
      <c r="A210" s="5">
        <v>205</v>
      </c>
      <c r="B210" s="5">
        <v>811379.56685156061</v>
      </c>
      <c r="C210" s="5">
        <v>13680.95314843941</v>
      </c>
      <c r="E210" s="5">
        <v>88</v>
      </c>
      <c r="F210" s="5">
        <v>464885.76471215533</v>
      </c>
      <c r="G210" s="5">
        <v>-14173.844712155347</v>
      </c>
      <c r="J210" s="5">
        <v>278</v>
      </c>
      <c r="K210" s="5">
        <v>724794.5794715184</v>
      </c>
      <c r="L210" s="5">
        <v>13753.84052848164</v>
      </c>
    </row>
    <row r="211" spans="1:12">
      <c r="A211" s="5">
        <v>206</v>
      </c>
      <c r="B211" s="5">
        <v>711456.69895685778</v>
      </c>
      <c r="C211" s="5">
        <v>84007.771043142187</v>
      </c>
      <c r="E211" s="5">
        <v>275</v>
      </c>
      <c r="F211" s="5">
        <v>650072.96490223915</v>
      </c>
      <c r="G211" s="5">
        <v>-14235.224902239162</v>
      </c>
      <c r="J211" s="5">
        <v>120</v>
      </c>
      <c r="K211" s="5">
        <v>720995.80858552712</v>
      </c>
      <c r="L211" s="5">
        <v>14484.381414472824</v>
      </c>
    </row>
    <row r="212" spans="1:12">
      <c r="A212" s="5">
        <v>207</v>
      </c>
      <c r="B212" s="5">
        <v>737289.44980931736</v>
      </c>
      <c r="C212" s="5">
        <v>-65420.859809317393</v>
      </c>
      <c r="E212" s="5">
        <v>182</v>
      </c>
      <c r="F212" s="5">
        <v>766118.13516858662</v>
      </c>
      <c r="G212" s="5">
        <v>-14724.25516858662</v>
      </c>
      <c r="J212" s="5">
        <v>156</v>
      </c>
      <c r="K212" s="5">
        <v>686237.50861954538</v>
      </c>
      <c r="L212" s="5">
        <v>16081.431380454567</v>
      </c>
    </row>
    <row r="213" spans="1:12">
      <c r="A213" s="5">
        <v>208</v>
      </c>
      <c r="B213" s="5">
        <v>727666.0494296049</v>
      </c>
      <c r="C213" s="5">
        <v>-51748.419429604895</v>
      </c>
      <c r="E213" s="5">
        <v>177</v>
      </c>
      <c r="F213" s="5">
        <v>902266.98806195019</v>
      </c>
      <c r="G213" s="5">
        <v>-14729.238061950193</v>
      </c>
      <c r="J213" s="5">
        <v>92</v>
      </c>
      <c r="K213" s="5">
        <v>570075.54545863683</v>
      </c>
      <c r="L213" s="5">
        <v>16231.674541363143</v>
      </c>
    </row>
    <row r="214" spans="1:12">
      <c r="A214" s="5">
        <v>209</v>
      </c>
      <c r="B214" s="5">
        <v>798605.75095476781</v>
      </c>
      <c r="C214" s="5">
        <v>11840.779045232222</v>
      </c>
      <c r="E214" s="5">
        <v>11</v>
      </c>
      <c r="F214" s="5">
        <v>738091.21297340642</v>
      </c>
      <c r="G214" s="5">
        <v>-15030.452973406413</v>
      </c>
      <c r="J214" s="5">
        <v>168</v>
      </c>
      <c r="K214" s="5">
        <v>803913.05017844331</v>
      </c>
      <c r="L214" s="5">
        <v>16816.239821556723</v>
      </c>
    </row>
    <row r="215" spans="1:12">
      <c r="A215" s="5">
        <v>210</v>
      </c>
      <c r="B215" s="5">
        <v>770128.74176354043</v>
      </c>
      <c r="C215" s="5">
        <v>-78840.551763540483</v>
      </c>
      <c r="E215" s="5">
        <v>191</v>
      </c>
      <c r="F215" s="5">
        <v>458394.51432378474</v>
      </c>
      <c r="G215" s="5">
        <v>-15118.924323784711</v>
      </c>
      <c r="J215" s="5">
        <v>217</v>
      </c>
      <c r="K215" s="5">
        <v>656750.29576815851</v>
      </c>
      <c r="L215" s="5">
        <v>17538.804231841466</v>
      </c>
    </row>
    <row r="216" spans="1:12">
      <c r="A216" s="5">
        <v>211</v>
      </c>
      <c r="B216" s="5">
        <v>947086.58365800825</v>
      </c>
      <c r="C216" s="5">
        <v>-253.04365800821688</v>
      </c>
      <c r="E216" s="5">
        <v>132</v>
      </c>
      <c r="F216" s="5">
        <v>826616.93892295705</v>
      </c>
      <c r="G216" s="5">
        <v>-15164.218922957079</v>
      </c>
      <c r="J216" s="5">
        <v>126</v>
      </c>
      <c r="K216" s="5">
        <v>824854.52793962811</v>
      </c>
      <c r="L216" s="5">
        <v>17585.142060371931</v>
      </c>
    </row>
    <row r="217" spans="1:12">
      <c r="A217" s="5">
        <v>212</v>
      </c>
      <c r="B217" s="5">
        <v>770246.76901597227</v>
      </c>
      <c r="C217" s="5">
        <v>-8283.5390159722883</v>
      </c>
      <c r="E217" s="5">
        <v>184</v>
      </c>
      <c r="F217" s="5">
        <v>834924.15614802821</v>
      </c>
      <c r="G217" s="5">
        <v>-15263.566148028243</v>
      </c>
      <c r="J217" s="5">
        <v>24</v>
      </c>
      <c r="K217" s="5">
        <v>548186.18220324372</v>
      </c>
      <c r="L217" s="5">
        <v>17624.807796756271</v>
      </c>
    </row>
    <row r="218" spans="1:12">
      <c r="A218" s="5">
        <v>213</v>
      </c>
      <c r="B218" s="5">
        <v>783601.40036733146</v>
      </c>
      <c r="C218" s="5">
        <v>28551.199632668518</v>
      </c>
      <c r="E218" s="5">
        <v>301</v>
      </c>
      <c r="F218" s="5">
        <v>719537.61323905957</v>
      </c>
      <c r="G218" s="5">
        <v>-15724.623239059583</v>
      </c>
      <c r="J218" s="5">
        <v>312</v>
      </c>
      <c r="K218" s="5">
        <v>753066.82528074621</v>
      </c>
      <c r="L218" s="5">
        <v>18062.244719253737</v>
      </c>
    </row>
    <row r="219" spans="1:12">
      <c r="A219" s="5">
        <v>214</v>
      </c>
      <c r="B219" s="5">
        <v>765810.02614777908</v>
      </c>
      <c r="C219" s="5">
        <v>39165.473852220923</v>
      </c>
      <c r="E219" s="5">
        <v>39</v>
      </c>
      <c r="F219" s="5">
        <v>752362.18018798577</v>
      </c>
      <c r="G219" s="5">
        <v>-15728.780187985743</v>
      </c>
      <c r="J219" s="5">
        <v>44</v>
      </c>
      <c r="K219" s="5">
        <v>587042.65051210253</v>
      </c>
      <c r="L219" s="5">
        <v>18135.349487897474</v>
      </c>
    </row>
    <row r="220" spans="1:12">
      <c r="A220" s="5">
        <v>215</v>
      </c>
      <c r="B220" s="5">
        <v>777092.57866143377</v>
      </c>
      <c r="C220" s="5">
        <v>-24770.858661433798</v>
      </c>
      <c r="E220" s="5">
        <v>31</v>
      </c>
      <c r="F220" s="5">
        <v>516250.03955719015</v>
      </c>
      <c r="G220" s="5">
        <v>-16077.019557190128</v>
      </c>
      <c r="J220" s="5">
        <v>242</v>
      </c>
      <c r="K220" s="5">
        <v>658153.25182211085</v>
      </c>
      <c r="L220" s="5">
        <v>18184.158177889185</v>
      </c>
    </row>
    <row r="221" spans="1:12">
      <c r="A221" s="5">
        <v>216</v>
      </c>
      <c r="B221" s="5">
        <v>833567.14742089505</v>
      </c>
      <c r="C221" s="5">
        <v>3341.0925791049376</v>
      </c>
      <c r="E221" s="5">
        <v>290</v>
      </c>
      <c r="F221" s="5">
        <v>712548.81428261916</v>
      </c>
      <c r="G221" s="5">
        <v>-16287.324282619171</v>
      </c>
      <c r="J221" s="5">
        <v>154</v>
      </c>
      <c r="K221" s="5">
        <v>680144.72795479943</v>
      </c>
      <c r="L221" s="5">
        <v>18347.942045200616</v>
      </c>
    </row>
    <row r="222" spans="1:12">
      <c r="A222" s="5">
        <v>217</v>
      </c>
      <c r="B222" s="5">
        <v>656750.29576815851</v>
      </c>
      <c r="C222" s="5">
        <v>17538.804231841466</v>
      </c>
      <c r="E222" s="5">
        <v>157</v>
      </c>
      <c r="F222" s="5">
        <v>716768.67548250535</v>
      </c>
      <c r="G222" s="5">
        <v>-16690.355482505402</v>
      </c>
      <c r="J222" s="5">
        <v>244</v>
      </c>
      <c r="K222" s="5">
        <v>743996.08986289694</v>
      </c>
      <c r="L222" s="5">
        <v>19163.830137103098</v>
      </c>
    </row>
    <row r="223" spans="1:12">
      <c r="A223" s="5">
        <v>218</v>
      </c>
      <c r="B223" s="5">
        <v>594980.43226086558</v>
      </c>
      <c r="C223" s="5">
        <v>27911.987739134463</v>
      </c>
      <c r="E223" s="5">
        <v>108</v>
      </c>
      <c r="F223" s="5">
        <v>682875.64585134224</v>
      </c>
      <c r="G223" s="5">
        <v>-17280.705851342296</v>
      </c>
      <c r="J223" s="5">
        <v>78</v>
      </c>
      <c r="K223" s="5">
        <v>671922.74872996181</v>
      </c>
      <c r="L223" s="5">
        <v>19189.851270038169</v>
      </c>
    </row>
    <row r="224" spans="1:12">
      <c r="A224" s="5">
        <v>219</v>
      </c>
      <c r="B224" s="5">
        <v>606088.27400414762</v>
      </c>
      <c r="C224" s="5">
        <v>67260.285995852435</v>
      </c>
      <c r="E224" s="5">
        <v>46</v>
      </c>
      <c r="F224" s="5">
        <v>617379.1187454171</v>
      </c>
      <c r="G224" s="5">
        <v>-17775.718745417078</v>
      </c>
      <c r="J224" s="5">
        <v>190</v>
      </c>
      <c r="K224" s="5">
        <v>528915.73949545505</v>
      </c>
      <c r="L224" s="5">
        <v>22047.190504544997</v>
      </c>
    </row>
    <row r="225" spans="1:12">
      <c r="A225" s="5">
        <v>220</v>
      </c>
      <c r="B225" s="5">
        <v>571813.07424695615</v>
      </c>
      <c r="C225" s="5">
        <v>34465.225753043895</v>
      </c>
      <c r="E225" s="5">
        <v>302</v>
      </c>
      <c r="F225" s="5">
        <v>742201.01770664763</v>
      </c>
      <c r="G225" s="5">
        <v>-17854.28770664765</v>
      </c>
      <c r="J225" s="5">
        <v>57</v>
      </c>
      <c r="K225" s="5">
        <v>493736.62457981094</v>
      </c>
      <c r="L225" s="5">
        <v>24312.635420189064</v>
      </c>
    </row>
    <row r="226" spans="1:12">
      <c r="A226" s="5">
        <v>221</v>
      </c>
      <c r="B226" s="5">
        <v>687839.6927768254</v>
      </c>
      <c r="C226" s="5">
        <v>24380.11722317466</v>
      </c>
      <c r="E226" s="5">
        <v>195</v>
      </c>
      <c r="F226" s="5">
        <v>578385.57848991523</v>
      </c>
      <c r="G226" s="5">
        <v>-18963.558489915216</v>
      </c>
      <c r="J226" s="5">
        <v>221</v>
      </c>
      <c r="K226" s="5">
        <v>687839.6927768254</v>
      </c>
      <c r="L226" s="5">
        <v>24380.11722317466</v>
      </c>
    </row>
    <row r="227" spans="1:12">
      <c r="A227" s="5">
        <v>222</v>
      </c>
      <c r="B227" s="5">
        <v>665961.16280639893</v>
      </c>
      <c r="C227" s="5">
        <v>6709.3771936011035</v>
      </c>
      <c r="E227" s="5">
        <v>63</v>
      </c>
      <c r="F227" s="5">
        <v>591715.73806737526</v>
      </c>
      <c r="G227" s="5">
        <v>-19704.53806737531</v>
      </c>
      <c r="J227" s="5">
        <v>307</v>
      </c>
      <c r="K227" s="5">
        <v>640282.5592900617</v>
      </c>
      <c r="L227" s="5">
        <v>25059.930709938286</v>
      </c>
    </row>
    <row r="228" spans="1:12">
      <c r="A228" s="5">
        <v>223</v>
      </c>
      <c r="B228" s="5">
        <v>725440.79964540491</v>
      </c>
      <c r="C228" s="5">
        <v>7227.1203545951284</v>
      </c>
      <c r="E228" s="5">
        <v>38</v>
      </c>
      <c r="F228" s="5">
        <v>738744.69418485416</v>
      </c>
      <c r="G228" s="5">
        <v>-20414.164184854133</v>
      </c>
      <c r="J228" s="5">
        <v>13</v>
      </c>
      <c r="K228" s="5">
        <v>896252.9699325749</v>
      </c>
      <c r="L228" s="5">
        <v>25915.630067425082</v>
      </c>
    </row>
    <row r="229" spans="1:12">
      <c r="A229" s="5">
        <v>224</v>
      </c>
      <c r="B229" s="5">
        <v>768993.76984593237</v>
      </c>
      <c r="C229" s="5">
        <v>-45462.36984593235</v>
      </c>
      <c r="E229" s="5">
        <v>194</v>
      </c>
      <c r="F229" s="5">
        <v>632571.39938080916</v>
      </c>
      <c r="G229" s="5">
        <v>-20647.129380809143</v>
      </c>
      <c r="J229" s="5">
        <v>47</v>
      </c>
      <c r="K229" s="5">
        <v>588575.7411312866</v>
      </c>
      <c r="L229" s="5">
        <v>26224.348868713365</v>
      </c>
    </row>
    <row r="230" spans="1:12">
      <c r="A230" s="5">
        <v>225</v>
      </c>
      <c r="B230" s="5">
        <v>613991.7317475297</v>
      </c>
      <c r="C230" s="5">
        <v>27572.868252470274</v>
      </c>
      <c r="E230" s="5">
        <v>86</v>
      </c>
      <c r="F230" s="5">
        <v>632449.20707733545</v>
      </c>
      <c r="G230" s="5">
        <v>-20682.487077335478</v>
      </c>
      <c r="J230" s="5">
        <v>245</v>
      </c>
      <c r="K230" s="5">
        <v>774753.66351834428</v>
      </c>
      <c r="L230" s="5">
        <v>27248.016481655766</v>
      </c>
    </row>
    <row r="231" spans="1:12">
      <c r="A231" s="5">
        <v>226</v>
      </c>
      <c r="B231" s="5">
        <v>544525.13447361474</v>
      </c>
      <c r="C231" s="5">
        <v>-7979.6444736147532</v>
      </c>
      <c r="E231" s="5">
        <v>20</v>
      </c>
      <c r="F231" s="5">
        <v>612706.83369731135</v>
      </c>
      <c r="G231" s="5">
        <v>-21086.883697311394</v>
      </c>
      <c r="J231" s="5">
        <v>225</v>
      </c>
      <c r="K231" s="5">
        <v>613991.7317475297</v>
      </c>
      <c r="L231" s="5">
        <v>27572.868252470274</v>
      </c>
    </row>
    <row r="232" spans="1:12">
      <c r="A232" s="5">
        <v>227</v>
      </c>
      <c r="B232" s="5">
        <v>558673.46122224594</v>
      </c>
      <c r="C232" s="5">
        <v>-30991.901222245884</v>
      </c>
      <c r="E232" s="5">
        <v>311</v>
      </c>
      <c r="F232" s="5">
        <v>643582.63092170027</v>
      </c>
      <c r="G232" s="5">
        <v>-21905.330921700224</v>
      </c>
      <c r="J232" s="5">
        <v>218</v>
      </c>
      <c r="K232" s="5">
        <v>594980.43226086558</v>
      </c>
      <c r="L232" s="5">
        <v>27911.987739134463</v>
      </c>
    </row>
    <row r="233" spans="1:12">
      <c r="A233" s="5">
        <v>228</v>
      </c>
      <c r="B233" s="5">
        <v>475943.54902492039</v>
      </c>
      <c r="C233" s="5">
        <v>53655.390975079557</v>
      </c>
      <c r="E233" s="5">
        <v>299</v>
      </c>
      <c r="F233" s="5">
        <v>621014.4598569579</v>
      </c>
      <c r="G233" s="5">
        <v>-21997.129856957938</v>
      </c>
      <c r="J233" s="5">
        <v>179</v>
      </c>
      <c r="K233" s="5">
        <v>753968.7107748139</v>
      </c>
      <c r="L233" s="5">
        <v>27986.809225186124</v>
      </c>
    </row>
    <row r="234" spans="1:12">
      <c r="A234" s="5">
        <v>229</v>
      </c>
      <c r="B234" s="5">
        <v>629923.00438736659</v>
      </c>
      <c r="C234" s="5">
        <v>-58959.69438736653</v>
      </c>
      <c r="E234" s="5">
        <v>309</v>
      </c>
      <c r="F234" s="5">
        <v>651204.9032362462</v>
      </c>
      <c r="G234" s="5">
        <v>-22666.603236246156</v>
      </c>
      <c r="J234" s="5">
        <v>142</v>
      </c>
      <c r="K234" s="5">
        <v>686973.76247921784</v>
      </c>
      <c r="L234" s="5">
        <v>28123.807520782109</v>
      </c>
    </row>
    <row r="235" spans="1:12">
      <c r="A235" s="5">
        <v>230</v>
      </c>
      <c r="B235" s="5">
        <v>809133.68555899512</v>
      </c>
      <c r="C235" s="5">
        <v>61803.714441004908</v>
      </c>
      <c r="E235" s="5">
        <v>19</v>
      </c>
      <c r="F235" s="5">
        <v>689640.16882922978</v>
      </c>
      <c r="G235" s="5">
        <v>-23066.968829229823</v>
      </c>
      <c r="J235" s="5">
        <v>213</v>
      </c>
      <c r="K235" s="5">
        <v>783601.40036733146</v>
      </c>
      <c r="L235" s="5">
        <v>28551.199632668518</v>
      </c>
    </row>
    <row r="236" spans="1:12">
      <c r="A236" s="5">
        <v>231</v>
      </c>
      <c r="B236" s="5">
        <v>637906.38559990155</v>
      </c>
      <c r="C236" s="5">
        <v>-40937.115599901532</v>
      </c>
      <c r="E236" s="5">
        <v>235</v>
      </c>
      <c r="F236" s="5">
        <v>664177.19097873964</v>
      </c>
      <c r="G236" s="5">
        <v>-23510.660978739616</v>
      </c>
      <c r="J236" s="5">
        <v>103</v>
      </c>
      <c r="K236" s="5">
        <v>711467.59549407568</v>
      </c>
      <c r="L236" s="5">
        <v>28635.044505924336</v>
      </c>
    </row>
    <row r="237" spans="1:12">
      <c r="A237" s="5">
        <v>232</v>
      </c>
      <c r="B237" s="5">
        <v>605055.96193167404</v>
      </c>
      <c r="C237" s="5">
        <v>42456.888068325934</v>
      </c>
      <c r="E237" s="5">
        <v>155</v>
      </c>
      <c r="F237" s="5">
        <v>709912.42854831007</v>
      </c>
      <c r="G237" s="5">
        <v>-24082.188548310078</v>
      </c>
      <c r="J237" s="5">
        <v>159</v>
      </c>
      <c r="K237" s="5">
        <v>695134.8415807219</v>
      </c>
      <c r="L237" s="5">
        <v>29081.22841927805</v>
      </c>
    </row>
    <row r="238" spans="1:12">
      <c r="A238" s="5">
        <v>233</v>
      </c>
      <c r="B238" s="5">
        <v>604101.98412050633</v>
      </c>
      <c r="C238" s="5">
        <v>53970.155879493686</v>
      </c>
      <c r="E238" s="5">
        <v>158</v>
      </c>
      <c r="F238" s="5">
        <v>626607.70275330066</v>
      </c>
      <c r="G238" s="5">
        <v>-24605.382753300713</v>
      </c>
      <c r="J238" s="5">
        <v>274</v>
      </c>
      <c r="K238" s="5">
        <v>532412.55903727561</v>
      </c>
      <c r="L238" s="5">
        <v>29184.770962724346</v>
      </c>
    </row>
    <row r="239" spans="1:12">
      <c r="A239" s="5">
        <v>234</v>
      </c>
      <c r="B239" s="5">
        <v>652107.87708303554</v>
      </c>
      <c r="C239" s="5">
        <v>71197.232916964451</v>
      </c>
      <c r="E239" s="5">
        <v>215</v>
      </c>
      <c r="F239" s="5">
        <v>777092.57866143377</v>
      </c>
      <c r="G239" s="5">
        <v>-24770.858661433798</v>
      </c>
      <c r="J239" s="5">
        <v>110</v>
      </c>
      <c r="K239" s="5">
        <v>634861.14944509091</v>
      </c>
      <c r="L239" s="5">
        <v>29301.340554909082</v>
      </c>
    </row>
    <row r="240" spans="1:12">
      <c r="A240" s="5">
        <v>235</v>
      </c>
      <c r="B240" s="5">
        <v>664177.19097873964</v>
      </c>
      <c r="C240" s="5">
        <v>-23510.660978739616</v>
      </c>
      <c r="E240" s="5">
        <v>116</v>
      </c>
      <c r="F240" s="5">
        <v>743018.15115455643</v>
      </c>
      <c r="G240" s="5">
        <v>-24943.361154556391</v>
      </c>
      <c r="J240" s="5">
        <v>171</v>
      </c>
      <c r="K240" s="5">
        <v>740107.36661866913</v>
      </c>
      <c r="L240" s="5">
        <v>29595.393381330883</v>
      </c>
    </row>
    <row r="241" spans="1:12">
      <c r="A241" s="5">
        <v>236</v>
      </c>
      <c r="B241" s="5">
        <v>665581.16562859667</v>
      </c>
      <c r="C241" s="5">
        <v>5048.3143714033067</v>
      </c>
      <c r="E241" s="5">
        <v>314</v>
      </c>
      <c r="F241" s="5">
        <v>714059.58416563552</v>
      </c>
      <c r="G241" s="5">
        <v>-25691.124165635556</v>
      </c>
      <c r="J241" s="5">
        <v>122</v>
      </c>
      <c r="K241" s="5">
        <v>624362.1395822569</v>
      </c>
      <c r="L241" s="5">
        <v>29954.950417743064</v>
      </c>
    </row>
    <row r="242" spans="1:12">
      <c r="A242" s="5">
        <v>237</v>
      </c>
      <c r="B242" s="5">
        <v>790006.40204921365</v>
      </c>
      <c r="C242" s="5">
        <v>-68927.052049213671</v>
      </c>
      <c r="E242" s="5">
        <v>6</v>
      </c>
      <c r="F242" s="5">
        <v>787820.76285121276</v>
      </c>
      <c r="G242" s="5">
        <v>-25985.422851212788</v>
      </c>
      <c r="J242" s="5">
        <v>173</v>
      </c>
      <c r="K242" s="5">
        <v>749555.80295868637</v>
      </c>
      <c r="L242" s="5">
        <v>30788.377041313681</v>
      </c>
    </row>
    <row r="243" spans="1:12">
      <c r="A243" s="5">
        <v>238</v>
      </c>
      <c r="B243" s="5">
        <v>824312.80120164505</v>
      </c>
      <c r="C243" s="5">
        <v>-13957.781201645033</v>
      </c>
      <c r="E243" s="5">
        <v>166</v>
      </c>
      <c r="F243" s="5">
        <v>732867.5560629773</v>
      </c>
      <c r="G243" s="5">
        <v>-26582.036062977277</v>
      </c>
      <c r="J243" s="5">
        <v>40</v>
      </c>
      <c r="K243" s="5">
        <v>796891.71897730068</v>
      </c>
      <c r="L243" s="5">
        <v>31732.131022699294</v>
      </c>
    </row>
    <row r="244" spans="1:12">
      <c r="A244" s="5">
        <v>239</v>
      </c>
      <c r="B244" s="5">
        <v>791594.69089172862</v>
      </c>
      <c r="C244" s="5">
        <v>-29675.44089172862</v>
      </c>
      <c r="E244" s="5">
        <v>146</v>
      </c>
      <c r="F244" s="5">
        <v>564980.02185571997</v>
      </c>
      <c r="G244" s="5">
        <v>-27921.691855720012</v>
      </c>
      <c r="J244" s="5">
        <v>79</v>
      </c>
      <c r="K244" s="5">
        <v>744338.25972267892</v>
      </c>
      <c r="L244" s="5">
        <v>32583.91027732112</v>
      </c>
    </row>
    <row r="245" spans="1:12">
      <c r="A245" s="5">
        <v>240</v>
      </c>
      <c r="B245" s="5">
        <v>742090.07946572604</v>
      </c>
      <c r="C245" s="5">
        <v>-5019.89946572599</v>
      </c>
      <c r="E245" s="5">
        <v>169</v>
      </c>
      <c r="F245" s="5">
        <v>768819.69511672272</v>
      </c>
      <c r="G245" s="5">
        <v>-28987.965116722742</v>
      </c>
      <c r="J245" s="5">
        <v>150</v>
      </c>
      <c r="K245" s="5">
        <v>680058.68646234937</v>
      </c>
      <c r="L245" s="5">
        <v>32809.663537650602</v>
      </c>
    </row>
    <row r="246" spans="1:12">
      <c r="A246" s="5">
        <v>241</v>
      </c>
      <c r="B246" s="5">
        <v>743978.52309953852</v>
      </c>
      <c r="C246" s="5">
        <v>33014.40690046153</v>
      </c>
      <c r="E246" s="5">
        <v>81</v>
      </c>
      <c r="F246" s="5">
        <v>650379.83648545563</v>
      </c>
      <c r="G246" s="5">
        <v>-29010.256485455669</v>
      </c>
      <c r="J246" s="5">
        <v>267</v>
      </c>
      <c r="K246" s="5">
        <v>712680.2674860314</v>
      </c>
      <c r="L246" s="5">
        <v>32900.242513968609</v>
      </c>
    </row>
    <row r="247" spans="1:12">
      <c r="A247" s="5">
        <v>242</v>
      </c>
      <c r="B247" s="5">
        <v>658153.25182211085</v>
      </c>
      <c r="C247" s="5">
        <v>18184.158177889185</v>
      </c>
      <c r="E247" s="5">
        <v>128</v>
      </c>
      <c r="F247" s="5">
        <v>726381.11183451954</v>
      </c>
      <c r="G247" s="5">
        <v>-29225.811834519496</v>
      </c>
      <c r="J247" s="5">
        <v>241</v>
      </c>
      <c r="K247" s="5">
        <v>743978.52309953852</v>
      </c>
      <c r="L247" s="5">
        <v>33014.40690046153</v>
      </c>
    </row>
    <row r="248" spans="1:12">
      <c r="A248" s="5">
        <v>243</v>
      </c>
      <c r="B248" s="5">
        <v>822612.02625494997</v>
      </c>
      <c r="C248" s="5">
        <v>5607.6437450500671</v>
      </c>
      <c r="E248" s="5">
        <v>239</v>
      </c>
      <c r="F248" s="5">
        <v>791594.69089172862</v>
      </c>
      <c r="G248" s="5">
        <v>-29675.44089172862</v>
      </c>
      <c r="J248" s="5">
        <v>266</v>
      </c>
      <c r="K248" s="5">
        <v>734359.2791229682</v>
      </c>
      <c r="L248" s="5">
        <v>33433.66087703174</v>
      </c>
    </row>
    <row r="249" spans="1:12">
      <c r="A249" s="5">
        <v>244</v>
      </c>
      <c r="B249" s="5">
        <v>743996.08986289694</v>
      </c>
      <c r="C249" s="5">
        <v>19163.830137103098</v>
      </c>
      <c r="E249" s="5">
        <v>284</v>
      </c>
      <c r="F249" s="5">
        <v>527170.31970055145</v>
      </c>
      <c r="G249" s="5">
        <v>-29730.499700551445</v>
      </c>
      <c r="J249" s="5">
        <v>62</v>
      </c>
      <c r="K249" s="5">
        <v>582430.08079920278</v>
      </c>
      <c r="L249" s="5">
        <v>33536.399200797197</v>
      </c>
    </row>
    <row r="250" spans="1:12">
      <c r="A250" s="5">
        <v>245</v>
      </c>
      <c r="B250" s="5">
        <v>774753.66351834428</v>
      </c>
      <c r="C250" s="5">
        <v>27248.016481655766</v>
      </c>
      <c r="E250" s="5">
        <v>50</v>
      </c>
      <c r="F250" s="5">
        <v>633382.48645690235</v>
      </c>
      <c r="G250" s="5">
        <v>-30084.9164569024</v>
      </c>
      <c r="J250" s="5">
        <v>253</v>
      </c>
      <c r="K250" s="5">
        <v>731396.74403439614</v>
      </c>
      <c r="L250" s="5">
        <v>33552.255965603865</v>
      </c>
    </row>
    <row r="251" spans="1:12">
      <c r="A251" s="5">
        <v>246</v>
      </c>
      <c r="B251" s="5">
        <v>741069.82872122945</v>
      </c>
      <c r="C251" s="5">
        <v>9401.5112787705148</v>
      </c>
      <c r="E251" s="5">
        <v>285</v>
      </c>
      <c r="F251" s="5">
        <v>667072.15850066929</v>
      </c>
      <c r="G251" s="5">
        <v>-30296.498500669259</v>
      </c>
      <c r="J251" s="5">
        <v>129</v>
      </c>
      <c r="K251" s="5">
        <v>815169.88219488261</v>
      </c>
      <c r="L251" s="5">
        <v>33848.417805117439</v>
      </c>
    </row>
    <row r="252" spans="1:12">
      <c r="A252" s="5">
        <v>247</v>
      </c>
      <c r="B252" s="5">
        <v>690585.6748318082</v>
      </c>
      <c r="C252" s="5">
        <v>-11354.814831808209</v>
      </c>
      <c r="E252" s="5">
        <v>227</v>
      </c>
      <c r="F252" s="5">
        <v>558673.46122224594</v>
      </c>
      <c r="G252" s="5">
        <v>-30991.901222245884</v>
      </c>
      <c r="J252" s="5">
        <v>91</v>
      </c>
      <c r="K252" s="5">
        <v>705678.06646454765</v>
      </c>
      <c r="L252" s="5">
        <v>34174.513535452308</v>
      </c>
    </row>
    <row r="253" spans="1:12">
      <c r="A253" s="5">
        <v>248</v>
      </c>
      <c r="B253" s="5">
        <v>673527.90333505266</v>
      </c>
      <c r="C253" s="5">
        <v>6360.8366649473319</v>
      </c>
      <c r="E253" s="5">
        <v>174</v>
      </c>
      <c r="F253" s="5">
        <v>753318.99402509455</v>
      </c>
      <c r="G253" s="5">
        <v>-31954.884025094565</v>
      </c>
      <c r="J253" s="5">
        <v>144</v>
      </c>
      <c r="K253" s="5">
        <v>660876.28034421965</v>
      </c>
      <c r="L253" s="5">
        <v>34222.229655780364</v>
      </c>
    </row>
    <row r="254" spans="1:12">
      <c r="A254" s="5">
        <v>249</v>
      </c>
      <c r="B254" s="5">
        <v>571434.07561822399</v>
      </c>
      <c r="C254" s="5">
        <v>35349.594381776056</v>
      </c>
      <c r="E254" s="5">
        <v>175</v>
      </c>
      <c r="F254" s="5">
        <v>791713.44789563341</v>
      </c>
      <c r="G254" s="5">
        <v>-33575.157895633369</v>
      </c>
      <c r="J254" s="5">
        <v>189</v>
      </c>
      <c r="K254" s="5">
        <v>591557.45879977872</v>
      </c>
      <c r="L254" s="5">
        <v>34436.371200221241</v>
      </c>
    </row>
    <row r="255" spans="1:12">
      <c r="A255" s="5">
        <v>250</v>
      </c>
      <c r="B255" s="5">
        <v>680832.39367089421</v>
      </c>
      <c r="C255" s="5">
        <v>-38080.973670894164</v>
      </c>
      <c r="E255" s="5">
        <v>124</v>
      </c>
      <c r="F255" s="5">
        <v>475182.79311536282</v>
      </c>
      <c r="G255" s="5">
        <v>-33907.373115362832</v>
      </c>
      <c r="J255" s="5">
        <v>220</v>
      </c>
      <c r="K255" s="5">
        <v>571813.07424695615</v>
      </c>
      <c r="L255" s="5">
        <v>34465.225753043895</v>
      </c>
    </row>
    <row r="256" spans="1:12">
      <c r="A256" s="5">
        <v>251</v>
      </c>
      <c r="B256" s="5">
        <v>642173.99211872125</v>
      </c>
      <c r="C256" s="5">
        <v>5779.7878812787822</v>
      </c>
      <c r="E256" s="5">
        <v>149</v>
      </c>
      <c r="F256" s="5">
        <v>648021.06532969477</v>
      </c>
      <c r="G256" s="5">
        <v>-33996.155329694739</v>
      </c>
      <c r="J256" s="5">
        <v>255</v>
      </c>
      <c r="K256" s="5">
        <v>684921.84212365688</v>
      </c>
      <c r="L256" s="5">
        <v>35157.697876343154</v>
      </c>
    </row>
    <row r="257" spans="1:12">
      <c r="A257" s="5">
        <v>252</v>
      </c>
      <c r="B257" s="5">
        <v>740742.28367687878</v>
      </c>
      <c r="C257" s="5">
        <v>-11301.833676878829</v>
      </c>
      <c r="E257" s="5">
        <v>288</v>
      </c>
      <c r="F257" s="5">
        <v>583515.15035658551</v>
      </c>
      <c r="G257" s="5">
        <v>-35411.450356585556</v>
      </c>
      <c r="J257" s="5">
        <v>165</v>
      </c>
      <c r="K257" s="5">
        <v>790531.17673894553</v>
      </c>
      <c r="L257" s="5">
        <v>35266.733261054498</v>
      </c>
    </row>
    <row r="258" spans="1:12">
      <c r="A258" s="5">
        <v>253</v>
      </c>
      <c r="B258" s="5">
        <v>731396.74403439614</v>
      </c>
      <c r="C258" s="5">
        <v>33552.255965603865</v>
      </c>
      <c r="E258" s="5">
        <v>59</v>
      </c>
      <c r="F258" s="5">
        <v>653034.799826356</v>
      </c>
      <c r="G258" s="5">
        <v>-35743.649826355977</v>
      </c>
      <c r="J258" s="5">
        <v>249</v>
      </c>
      <c r="K258" s="5">
        <v>571434.07561822399</v>
      </c>
      <c r="L258" s="5">
        <v>35349.594381776056</v>
      </c>
    </row>
    <row r="259" spans="1:12">
      <c r="A259" s="5">
        <v>254</v>
      </c>
      <c r="B259" s="5">
        <v>711329.33203856472</v>
      </c>
      <c r="C259" s="5">
        <v>87717.60796143522</v>
      </c>
      <c r="E259" s="5">
        <v>192</v>
      </c>
      <c r="F259" s="5">
        <v>589936.65719357575</v>
      </c>
      <c r="G259" s="5">
        <v>-35924.587193575804</v>
      </c>
      <c r="J259" s="5">
        <v>316</v>
      </c>
      <c r="K259" s="5">
        <v>809327.14631576836</v>
      </c>
      <c r="L259" s="5">
        <v>35383.523684231681</v>
      </c>
    </row>
    <row r="260" spans="1:12">
      <c r="A260" s="5">
        <v>255</v>
      </c>
      <c r="B260" s="5">
        <v>684921.84212365688</v>
      </c>
      <c r="C260" s="5">
        <v>35157.697876343154</v>
      </c>
      <c r="E260" s="5">
        <v>70</v>
      </c>
      <c r="F260" s="5">
        <v>515185.21208666626</v>
      </c>
      <c r="G260" s="5">
        <v>-36134.712086666259</v>
      </c>
      <c r="J260" s="5">
        <v>143</v>
      </c>
      <c r="K260" s="5">
        <v>647058.42234533292</v>
      </c>
      <c r="L260" s="5">
        <v>35580.85765466711</v>
      </c>
    </row>
    <row r="261" spans="1:12">
      <c r="A261" s="5">
        <v>256</v>
      </c>
      <c r="B261" s="5">
        <v>649431.71613738849</v>
      </c>
      <c r="C261" s="5">
        <v>-37041.576137388474</v>
      </c>
      <c r="E261" s="5">
        <v>188</v>
      </c>
      <c r="F261" s="5">
        <v>748876.65951659693</v>
      </c>
      <c r="G261" s="5">
        <v>-36330.279516596929</v>
      </c>
      <c r="J261" s="5">
        <v>100</v>
      </c>
      <c r="K261" s="5">
        <v>638692.81518723397</v>
      </c>
      <c r="L261" s="5">
        <v>36484.864812766085</v>
      </c>
    </row>
    <row r="262" spans="1:12">
      <c r="A262" s="5">
        <v>257</v>
      </c>
      <c r="B262" s="5">
        <v>759124.16563947196</v>
      </c>
      <c r="C262" s="5">
        <v>80983.954360528034</v>
      </c>
      <c r="E262" s="5">
        <v>317</v>
      </c>
      <c r="F262" s="5">
        <v>656599.18654060224</v>
      </c>
      <c r="G262" s="5">
        <v>-36334.986540602287</v>
      </c>
      <c r="J262" s="5">
        <v>283</v>
      </c>
      <c r="K262" s="5">
        <v>676995.63583245734</v>
      </c>
      <c r="L262" s="5">
        <v>37088.044167542714</v>
      </c>
    </row>
    <row r="263" spans="1:12">
      <c r="A263" s="5">
        <v>258</v>
      </c>
      <c r="B263" s="5">
        <v>692764.71930508025</v>
      </c>
      <c r="C263" s="5">
        <v>5123.3706949197222</v>
      </c>
      <c r="E263" s="5">
        <v>199</v>
      </c>
      <c r="F263" s="5">
        <v>615568.02390670101</v>
      </c>
      <c r="G263" s="5">
        <v>-36618.183906701044</v>
      </c>
      <c r="J263" s="5">
        <v>72</v>
      </c>
      <c r="K263" s="5">
        <v>636825.03584753373</v>
      </c>
      <c r="L263" s="5">
        <v>37949.05415246624</v>
      </c>
    </row>
    <row r="264" spans="1:12">
      <c r="A264" s="5">
        <v>259</v>
      </c>
      <c r="B264" s="5">
        <v>744175.9252360781</v>
      </c>
      <c r="C264" s="5">
        <v>1939.6647639218718</v>
      </c>
      <c r="E264" s="5">
        <v>256</v>
      </c>
      <c r="F264" s="5">
        <v>649431.71613738849</v>
      </c>
      <c r="G264" s="5">
        <v>-37041.576137388474</v>
      </c>
      <c r="J264" s="5">
        <v>37</v>
      </c>
      <c r="K264" s="5">
        <v>782447.88125609048</v>
      </c>
      <c r="L264" s="5">
        <v>38146.048743909574</v>
      </c>
    </row>
    <row r="265" spans="1:12">
      <c r="A265" s="5">
        <v>260</v>
      </c>
      <c r="B265" s="5">
        <v>720504.39928969822</v>
      </c>
      <c r="C265" s="5">
        <v>55605.920710301725</v>
      </c>
      <c r="E265" s="5">
        <v>198</v>
      </c>
      <c r="F265" s="5">
        <v>611898.09376049659</v>
      </c>
      <c r="G265" s="5">
        <v>-37831.483760496601</v>
      </c>
      <c r="J265" s="5">
        <v>264</v>
      </c>
      <c r="K265" s="5">
        <v>598253.56943360087</v>
      </c>
      <c r="L265" s="5">
        <v>38359.660566399107</v>
      </c>
    </row>
    <row r="266" spans="1:12">
      <c r="A266" s="5">
        <v>261</v>
      </c>
      <c r="B266" s="5">
        <v>520824.57648103317</v>
      </c>
      <c r="C266" s="5">
        <v>8028.0435189668206</v>
      </c>
      <c r="E266" s="5">
        <v>250</v>
      </c>
      <c r="F266" s="5">
        <v>680832.39367089421</v>
      </c>
      <c r="G266" s="5">
        <v>-38080.973670894164</v>
      </c>
      <c r="J266" s="5">
        <v>55</v>
      </c>
      <c r="K266" s="5">
        <v>682479.95586141839</v>
      </c>
      <c r="L266" s="5">
        <v>38372.544138581608</v>
      </c>
    </row>
    <row r="267" spans="1:12">
      <c r="A267" s="5">
        <v>262</v>
      </c>
      <c r="B267" s="5">
        <v>609835.19865817914</v>
      </c>
      <c r="C267" s="5">
        <v>-4083.8686581791844</v>
      </c>
      <c r="E267" s="5">
        <v>131</v>
      </c>
      <c r="F267" s="5">
        <v>763568.97095569223</v>
      </c>
      <c r="G267" s="5">
        <v>-38333.690955692204</v>
      </c>
      <c r="J267" s="5">
        <v>214</v>
      </c>
      <c r="K267" s="5">
        <v>765810.02614777908</v>
      </c>
      <c r="L267" s="5">
        <v>39165.473852220923</v>
      </c>
    </row>
    <row r="268" spans="1:12">
      <c r="A268" s="5">
        <v>263</v>
      </c>
      <c r="B268" s="5">
        <v>629214.08568015485</v>
      </c>
      <c r="C268" s="5">
        <v>48426.564319845173</v>
      </c>
      <c r="E268" s="5">
        <v>280</v>
      </c>
      <c r="F268" s="5">
        <v>800136.70914793236</v>
      </c>
      <c r="G268" s="5">
        <v>-39014.289147932315</v>
      </c>
      <c r="J268" s="5">
        <v>138</v>
      </c>
      <c r="K268" s="5">
        <v>703478.44992546714</v>
      </c>
      <c r="L268" s="5">
        <v>39870.390074532828</v>
      </c>
    </row>
    <row r="269" spans="1:12">
      <c r="A269" s="5">
        <v>264</v>
      </c>
      <c r="B269" s="5">
        <v>598253.56943360087</v>
      </c>
      <c r="C269" s="5">
        <v>38359.660566399107</v>
      </c>
      <c r="E269" s="5">
        <v>60</v>
      </c>
      <c r="F269" s="5">
        <v>592915.64548416471</v>
      </c>
      <c r="G269" s="5">
        <v>-39159.215484164655</v>
      </c>
      <c r="J269" s="5">
        <v>315</v>
      </c>
      <c r="K269" s="5">
        <v>672126.73339248844</v>
      </c>
      <c r="L269" s="5">
        <v>40249.036607511574</v>
      </c>
    </row>
    <row r="270" spans="1:12">
      <c r="A270" s="5">
        <v>265</v>
      </c>
      <c r="B270" s="5">
        <v>699149.70115659246</v>
      </c>
      <c r="C270" s="5">
        <v>9835.4888434074819</v>
      </c>
      <c r="E270" s="5">
        <v>282</v>
      </c>
      <c r="F270" s="5">
        <v>595645.12180704053</v>
      </c>
      <c r="G270" s="5">
        <v>-40087.351807040512</v>
      </c>
      <c r="J270" s="5">
        <v>54</v>
      </c>
      <c r="K270" s="5">
        <v>705009.13646885264</v>
      </c>
      <c r="L270" s="5">
        <v>41668.613531147363</v>
      </c>
    </row>
    <row r="271" spans="1:12">
      <c r="A271" s="5">
        <v>266</v>
      </c>
      <c r="B271" s="5">
        <v>734359.2791229682</v>
      </c>
      <c r="C271" s="5">
        <v>33433.66087703174</v>
      </c>
      <c r="E271" s="5">
        <v>17</v>
      </c>
      <c r="F271" s="5">
        <v>706243.35968279559</v>
      </c>
      <c r="G271" s="5">
        <v>-40090.839682795573</v>
      </c>
      <c r="J271" s="5">
        <v>232</v>
      </c>
      <c r="K271" s="5">
        <v>605055.96193167404</v>
      </c>
      <c r="L271" s="5">
        <v>42456.888068325934</v>
      </c>
    </row>
    <row r="272" spans="1:12">
      <c r="A272" s="5">
        <v>267</v>
      </c>
      <c r="B272" s="5">
        <v>712680.2674860314</v>
      </c>
      <c r="C272" s="5">
        <v>32900.242513968609</v>
      </c>
      <c r="E272" s="5">
        <v>145</v>
      </c>
      <c r="F272" s="5">
        <v>618591.05999030604</v>
      </c>
      <c r="G272" s="5">
        <v>-40858.489990306087</v>
      </c>
      <c r="J272" s="5">
        <v>186</v>
      </c>
      <c r="K272" s="5">
        <v>635661.53575496376</v>
      </c>
      <c r="L272" s="5">
        <v>42649.634245036286</v>
      </c>
    </row>
    <row r="273" spans="1:12">
      <c r="A273" s="5">
        <v>268</v>
      </c>
      <c r="B273" s="5">
        <v>711245.53899432695</v>
      </c>
      <c r="C273" s="5">
        <v>51082.771005673101</v>
      </c>
      <c r="E273" s="5">
        <v>231</v>
      </c>
      <c r="F273" s="5">
        <v>637906.38559990155</v>
      </c>
      <c r="G273" s="5">
        <v>-40937.115599901532</v>
      </c>
      <c r="J273" s="5">
        <v>197</v>
      </c>
      <c r="K273" s="5">
        <v>647524.07891033858</v>
      </c>
      <c r="L273" s="5">
        <v>43923.351089661475</v>
      </c>
    </row>
    <row r="274" spans="1:12">
      <c r="A274" s="5">
        <v>269</v>
      </c>
      <c r="B274" s="5">
        <v>711164.78208330378</v>
      </c>
      <c r="C274" s="5">
        <v>-50530.792083303793</v>
      </c>
      <c r="E274" s="5">
        <v>58</v>
      </c>
      <c r="F274" s="5">
        <v>541283.60199186415</v>
      </c>
      <c r="G274" s="5">
        <v>-40985.121991864173</v>
      </c>
      <c r="J274" s="5">
        <v>64</v>
      </c>
      <c r="K274" s="5">
        <v>717812.03324341809</v>
      </c>
      <c r="L274" s="5">
        <v>44048.156756581855</v>
      </c>
    </row>
    <row r="275" spans="1:12">
      <c r="A275" s="5">
        <v>270</v>
      </c>
      <c r="B275" s="5">
        <v>679233.95276070677</v>
      </c>
      <c r="C275" s="5">
        <v>60140.607239293284</v>
      </c>
      <c r="E275" s="5">
        <v>308</v>
      </c>
      <c r="F275" s="5">
        <v>692516.80312187271</v>
      </c>
      <c r="G275" s="5">
        <v>-41352.623121872661</v>
      </c>
      <c r="J275" s="5">
        <v>305</v>
      </c>
      <c r="K275" s="5">
        <v>682668.08510734921</v>
      </c>
      <c r="L275" s="5">
        <v>45289.394892650773</v>
      </c>
    </row>
    <row r="276" spans="1:12">
      <c r="A276" s="5">
        <v>271</v>
      </c>
      <c r="B276" s="5">
        <v>791854.62602629699</v>
      </c>
      <c r="C276" s="5">
        <v>7901.8339737029746</v>
      </c>
      <c r="E276" s="5">
        <v>76</v>
      </c>
      <c r="F276" s="5">
        <v>722288.95768840879</v>
      </c>
      <c r="G276" s="5">
        <v>-41448.597688408801</v>
      </c>
      <c r="J276" s="5">
        <v>152</v>
      </c>
      <c r="K276" s="5">
        <v>679939.10763097997</v>
      </c>
      <c r="L276" s="5">
        <v>45908.882369020022</v>
      </c>
    </row>
    <row r="277" spans="1:12">
      <c r="A277" s="5">
        <v>272</v>
      </c>
      <c r="B277" s="5">
        <v>668164.30581391952</v>
      </c>
      <c r="C277" s="5">
        <v>-74821.30581391952</v>
      </c>
      <c r="E277" s="5">
        <v>18</v>
      </c>
      <c r="F277" s="5">
        <v>615418.41951381497</v>
      </c>
      <c r="G277" s="5">
        <v>-42263.229513815022</v>
      </c>
      <c r="J277" s="5">
        <v>141</v>
      </c>
      <c r="K277" s="5">
        <v>669914.80138995673</v>
      </c>
      <c r="L277" s="5">
        <v>45975.728610043298</v>
      </c>
    </row>
    <row r="278" spans="1:12">
      <c r="A278" s="5">
        <v>273</v>
      </c>
      <c r="B278" s="5">
        <v>657204.89699972887</v>
      </c>
      <c r="C278" s="5">
        <v>-12164.926999728894</v>
      </c>
      <c r="E278" s="5">
        <v>183</v>
      </c>
      <c r="F278" s="5">
        <v>806219.69672781532</v>
      </c>
      <c r="G278" s="5">
        <v>-45142.616727815359</v>
      </c>
      <c r="J278" s="5">
        <v>94</v>
      </c>
      <c r="K278" s="5">
        <v>706908.43303481338</v>
      </c>
      <c r="L278" s="5">
        <v>46565.116965186666</v>
      </c>
    </row>
    <row r="279" spans="1:12">
      <c r="A279" s="5">
        <v>274</v>
      </c>
      <c r="B279" s="5">
        <v>532412.55903727561</v>
      </c>
      <c r="C279" s="5">
        <v>29184.770962724346</v>
      </c>
      <c r="E279" s="5">
        <v>224</v>
      </c>
      <c r="F279" s="5">
        <v>768993.76984593237</v>
      </c>
      <c r="G279" s="5">
        <v>-45462.36984593235</v>
      </c>
      <c r="J279" s="5">
        <v>41</v>
      </c>
      <c r="K279" s="5">
        <v>545278.13362974382</v>
      </c>
      <c r="L279" s="5">
        <v>46917.716370256152</v>
      </c>
    </row>
    <row r="280" spans="1:12">
      <c r="A280" s="5">
        <v>275</v>
      </c>
      <c r="B280" s="5">
        <v>650072.96490223915</v>
      </c>
      <c r="C280" s="5">
        <v>-14235.224902239162</v>
      </c>
      <c r="E280" s="5">
        <v>320</v>
      </c>
      <c r="F280" s="5">
        <v>605173.36022321135</v>
      </c>
      <c r="G280" s="5">
        <v>-45512.520223211381</v>
      </c>
      <c r="J280" s="5">
        <v>263</v>
      </c>
      <c r="K280" s="5">
        <v>629214.08568015485</v>
      </c>
      <c r="L280" s="5">
        <v>48426.564319845173</v>
      </c>
    </row>
    <row r="281" spans="1:12">
      <c r="A281" s="5">
        <v>276</v>
      </c>
      <c r="B281" s="5">
        <v>635934.58696602564</v>
      </c>
      <c r="C281" s="5">
        <v>50803.283033974352</v>
      </c>
      <c r="E281" s="5">
        <v>56</v>
      </c>
      <c r="F281" s="5">
        <v>533797.69730883965</v>
      </c>
      <c r="G281" s="5">
        <v>-46332.787308839674</v>
      </c>
      <c r="J281" s="5">
        <v>12</v>
      </c>
      <c r="K281" s="5">
        <v>861412.2100724004</v>
      </c>
      <c r="L281" s="5">
        <v>49379.729927599546</v>
      </c>
    </row>
    <row r="282" spans="1:12">
      <c r="A282" s="5">
        <v>277</v>
      </c>
      <c r="B282" s="5">
        <v>762864.56879828335</v>
      </c>
      <c r="C282" s="5">
        <v>-89788.22879828338</v>
      </c>
      <c r="E282" s="5">
        <v>293</v>
      </c>
      <c r="F282" s="5">
        <v>593055.81955769239</v>
      </c>
      <c r="G282" s="5">
        <v>-46832.119557692437</v>
      </c>
      <c r="J282" s="5">
        <v>151</v>
      </c>
      <c r="K282" s="5">
        <v>646506.90470711491</v>
      </c>
      <c r="L282" s="5">
        <v>50237.245292885113</v>
      </c>
    </row>
    <row r="283" spans="1:12">
      <c r="A283" s="5">
        <v>278</v>
      </c>
      <c r="B283" s="5">
        <v>724794.5794715184</v>
      </c>
      <c r="C283" s="5">
        <v>13753.84052848164</v>
      </c>
      <c r="E283" s="5">
        <v>123</v>
      </c>
      <c r="F283" s="5">
        <v>604361.94498852233</v>
      </c>
      <c r="G283" s="5">
        <v>-46874.68498852232</v>
      </c>
      <c r="J283" s="5">
        <v>276</v>
      </c>
      <c r="K283" s="5">
        <v>635934.58696602564</v>
      </c>
      <c r="L283" s="5">
        <v>50803.283033974352</v>
      </c>
    </row>
    <row r="284" spans="1:12">
      <c r="A284" s="5">
        <v>279</v>
      </c>
      <c r="B284" s="5">
        <v>767432.19692038861</v>
      </c>
      <c r="C284" s="5">
        <v>-10812.426920388592</v>
      </c>
      <c r="E284" s="5">
        <v>74</v>
      </c>
      <c r="F284" s="5">
        <v>678240.17214786378</v>
      </c>
      <c r="G284" s="5">
        <v>-47410.232147863833</v>
      </c>
      <c r="J284" s="5">
        <v>71</v>
      </c>
      <c r="K284" s="5">
        <v>554018.93606644543</v>
      </c>
      <c r="L284" s="5">
        <v>51004.933933554566</v>
      </c>
    </row>
    <row r="285" spans="1:12">
      <c r="A285" s="5">
        <v>280</v>
      </c>
      <c r="B285" s="5">
        <v>800136.70914793236</v>
      </c>
      <c r="C285" s="5">
        <v>-39014.289147932315</v>
      </c>
      <c r="E285" s="5">
        <v>161</v>
      </c>
      <c r="F285" s="5">
        <v>698909.38793023746</v>
      </c>
      <c r="G285" s="5">
        <v>-48429.327930237399</v>
      </c>
      <c r="J285" s="5">
        <v>268</v>
      </c>
      <c r="K285" s="5">
        <v>711245.53899432695</v>
      </c>
      <c r="L285" s="5">
        <v>51082.771005673101</v>
      </c>
    </row>
    <row r="286" spans="1:12">
      <c r="A286" s="5">
        <v>281</v>
      </c>
      <c r="B286" s="5">
        <v>595858.43420866947</v>
      </c>
      <c r="C286" s="5">
        <v>-70958.864208669518</v>
      </c>
      <c r="E286" s="5">
        <v>80</v>
      </c>
      <c r="F286" s="5">
        <v>685089.70066935779</v>
      </c>
      <c r="G286" s="5">
        <v>-48528.360669357819</v>
      </c>
      <c r="J286" s="5">
        <v>228</v>
      </c>
      <c r="K286" s="5">
        <v>475943.54902492039</v>
      </c>
      <c r="L286" s="5">
        <v>53655.390975079557</v>
      </c>
    </row>
    <row r="287" spans="1:12">
      <c r="A287" s="5">
        <v>282</v>
      </c>
      <c r="B287" s="5">
        <v>595645.12180704053</v>
      </c>
      <c r="C287" s="5">
        <v>-40087.351807040512</v>
      </c>
      <c r="E287" s="5">
        <v>269</v>
      </c>
      <c r="F287" s="5">
        <v>711164.78208330378</v>
      </c>
      <c r="G287" s="5">
        <v>-50530.792083303793</v>
      </c>
      <c r="J287" s="5">
        <v>233</v>
      </c>
      <c r="K287" s="5">
        <v>604101.98412050633</v>
      </c>
      <c r="L287" s="5">
        <v>53970.155879493686</v>
      </c>
    </row>
    <row r="288" spans="1:12">
      <c r="A288" s="5">
        <v>283</v>
      </c>
      <c r="B288" s="5">
        <v>676995.63583245734</v>
      </c>
      <c r="C288" s="5">
        <v>37088.044167542714</v>
      </c>
      <c r="E288" s="5">
        <v>77</v>
      </c>
      <c r="F288" s="5">
        <v>695337.42318438494</v>
      </c>
      <c r="G288" s="5">
        <v>-51679.953184384969</v>
      </c>
      <c r="J288" s="5">
        <v>52</v>
      </c>
      <c r="K288" s="5">
        <v>718453.01789865922</v>
      </c>
      <c r="L288" s="5">
        <v>55362.122101340792</v>
      </c>
    </row>
    <row r="289" spans="1:12">
      <c r="A289" s="5">
        <v>284</v>
      </c>
      <c r="B289" s="5">
        <v>527170.31970055145</v>
      </c>
      <c r="C289" s="5">
        <v>-29730.499700551445</v>
      </c>
      <c r="E289" s="5">
        <v>208</v>
      </c>
      <c r="F289" s="5">
        <v>727666.0494296049</v>
      </c>
      <c r="G289" s="5">
        <v>-51748.419429604895</v>
      </c>
      <c r="J289" s="5">
        <v>260</v>
      </c>
      <c r="K289" s="5">
        <v>720504.39928969822</v>
      </c>
      <c r="L289" s="5">
        <v>55605.920710301725</v>
      </c>
    </row>
    <row r="290" spans="1:12">
      <c r="A290" s="5">
        <v>285</v>
      </c>
      <c r="B290" s="5">
        <v>667072.15850066929</v>
      </c>
      <c r="C290" s="5">
        <v>-30296.498500669259</v>
      </c>
      <c r="E290" s="5">
        <v>115</v>
      </c>
      <c r="F290" s="5">
        <v>749455.75146462163</v>
      </c>
      <c r="G290" s="5">
        <v>-52167.851464621606</v>
      </c>
      <c r="J290" s="5">
        <v>127</v>
      </c>
      <c r="K290" s="5">
        <v>785563.87502050668</v>
      </c>
      <c r="L290" s="5">
        <v>56594.044979493367</v>
      </c>
    </row>
    <row r="291" spans="1:12">
      <c r="A291" s="5">
        <v>286</v>
      </c>
      <c r="B291" s="5">
        <v>637663.21328956808</v>
      </c>
      <c r="C291" s="5">
        <v>-4653.6832895680564</v>
      </c>
      <c r="E291" s="5">
        <v>119</v>
      </c>
      <c r="F291" s="5">
        <v>737343.57457491464</v>
      </c>
      <c r="G291" s="5">
        <v>-53126.254574914696</v>
      </c>
      <c r="J291" s="5">
        <v>139</v>
      </c>
      <c r="K291" s="5">
        <v>702207.65296107985</v>
      </c>
      <c r="L291" s="5">
        <v>56619.987038920168</v>
      </c>
    </row>
    <row r="292" spans="1:12">
      <c r="A292" s="5">
        <v>287</v>
      </c>
      <c r="B292" s="5">
        <v>601661.82797522505</v>
      </c>
      <c r="C292" s="5">
        <v>8287.1720247749472</v>
      </c>
      <c r="E292" s="5">
        <v>133</v>
      </c>
      <c r="F292" s="5">
        <v>582051.00452649093</v>
      </c>
      <c r="G292" s="5">
        <v>-54750.874526490923</v>
      </c>
      <c r="J292" s="5">
        <v>82</v>
      </c>
      <c r="K292" s="5">
        <v>623822.47476251563</v>
      </c>
      <c r="L292" s="5">
        <v>58385.535237484379</v>
      </c>
    </row>
    <row r="293" spans="1:12">
      <c r="A293" s="5">
        <v>288</v>
      </c>
      <c r="B293" s="5">
        <v>583515.15035658551</v>
      </c>
      <c r="C293" s="5">
        <v>-35411.450356585556</v>
      </c>
      <c r="E293" s="5">
        <v>203</v>
      </c>
      <c r="F293" s="5">
        <v>662034.40643975185</v>
      </c>
      <c r="G293" s="5">
        <v>-54949.48643975181</v>
      </c>
      <c r="J293" s="5">
        <v>270</v>
      </c>
      <c r="K293" s="5">
        <v>679233.95276070677</v>
      </c>
      <c r="L293" s="5">
        <v>60140.607239293284</v>
      </c>
    </row>
    <row r="294" spans="1:12">
      <c r="A294" s="5">
        <v>289</v>
      </c>
      <c r="B294" s="5">
        <v>737903.07639210101</v>
      </c>
      <c r="C294" s="5">
        <v>-8478.6563921009656</v>
      </c>
      <c r="E294" s="5">
        <v>14</v>
      </c>
      <c r="F294" s="5">
        <v>783801.23697917955</v>
      </c>
      <c r="G294" s="5">
        <v>-57194.956979179522</v>
      </c>
      <c r="J294" s="5">
        <v>114</v>
      </c>
      <c r="K294" s="5">
        <v>812824.09084540815</v>
      </c>
      <c r="L294" s="5">
        <v>60555.929154591868</v>
      </c>
    </row>
    <row r="295" spans="1:12">
      <c r="A295" s="5">
        <v>290</v>
      </c>
      <c r="B295" s="5">
        <v>712548.81428261916</v>
      </c>
      <c r="C295" s="5">
        <v>-16287.324282619171</v>
      </c>
      <c r="E295" s="5">
        <v>193</v>
      </c>
      <c r="F295" s="5">
        <v>701265.53491498984</v>
      </c>
      <c r="G295" s="5">
        <v>-57836.684914989863</v>
      </c>
      <c r="J295" s="5">
        <v>230</v>
      </c>
      <c r="K295" s="5">
        <v>809133.68555899512</v>
      </c>
      <c r="L295" s="5">
        <v>61803.714441004908</v>
      </c>
    </row>
    <row r="296" spans="1:12">
      <c r="A296" s="5">
        <v>291</v>
      </c>
      <c r="B296" s="5">
        <v>734040.97336393304</v>
      </c>
      <c r="C296" s="5">
        <v>79275.736636066926</v>
      </c>
      <c r="E296" s="5">
        <v>163</v>
      </c>
      <c r="F296" s="5">
        <v>735223.87013704947</v>
      </c>
      <c r="G296" s="5">
        <v>-58127.160137049505</v>
      </c>
      <c r="J296" s="5">
        <v>95</v>
      </c>
      <c r="K296" s="5">
        <v>773696.93786816311</v>
      </c>
      <c r="L296" s="5">
        <v>64553.382131836843</v>
      </c>
    </row>
    <row r="297" spans="1:12">
      <c r="A297" s="5">
        <v>292</v>
      </c>
      <c r="B297" s="5">
        <v>692246.51444002381</v>
      </c>
      <c r="C297" s="5">
        <v>9822.405559976236</v>
      </c>
      <c r="E297" s="5">
        <v>229</v>
      </c>
      <c r="F297" s="5">
        <v>629923.00438736659</v>
      </c>
      <c r="G297" s="5">
        <v>-58959.69438736653</v>
      </c>
      <c r="J297" s="5">
        <v>180</v>
      </c>
      <c r="K297" s="5">
        <v>833368.57192306581</v>
      </c>
      <c r="L297" s="5">
        <v>64662.468076934223</v>
      </c>
    </row>
    <row r="298" spans="1:12">
      <c r="A298" s="5">
        <v>293</v>
      </c>
      <c r="B298" s="5">
        <v>593055.81955769239</v>
      </c>
      <c r="C298" s="5">
        <v>-46832.119557692437</v>
      </c>
      <c r="E298" s="5">
        <v>32</v>
      </c>
      <c r="F298" s="5">
        <v>491678.22893577826</v>
      </c>
      <c r="G298" s="5">
        <v>-63760.848935778253</v>
      </c>
      <c r="J298" s="5">
        <v>219</v>
      </c>
      <c r="K298" s="5">
        <v>606088.27400414762</v>
      </c>
      <c r="L298" s="5">
        <v>67260.285995852435</v>
      </c>
    </row>
    <row r="299" spans="1:12">
      <c r="A299" s="5">
        <v>294</v>
      </c>
      <c r="B299" s="5">
        <v>527963.54923854698</v>
      </c>
      <c r="C299" s="5">
        <v>5157.710761453025</v>
      </c>
      <c r="E299" s="5">
        <v>207</v>
      </c>
      <c r="F299" s="5">
        <v>737289.44980931736</v>
      </c>
      <c r="G299" s="5">
        <v>-65420.859809317393</v>
      </c>
      <c r="J299" s="5">
        <v>118</v>
      </c>
      <c r="K299" s="5">
        <v>750479.93779392797</v>
      </c>
      <c r="L299" s="5">
        <v>70039.102206072072</v>
      </c>
    </row>
    <row r="300" spans="1:12">
      <c r="A300" s="5">
        <v>295</v>
      </c>
      <c r="B300" s="5">
        <v>505548.93165007111</v>
      </c>
      <c r="C300" s="5">
        <v>-6578.6116500711069</v>
      </c>
      <c r="E300" s="5">
        <v>237</v>
      </c>
      <c r="F300" s="5">
        <v>790006.40204921365</v>
      </c>
      <c r="G300" s="5">
        <v>-68927.052049213671</v>
      </c>
      <c r="J300" s="5">
        <v>101</v>
      </c>
      <c r="K300" s="5">
        <v>564037.67309457471</v>
      </c>
      <c r="L300" s="5">
        <v>71143.676905425265</v>
      </c>
    </row>
    <row r="301" spans="1:12">
      <c r="A301" s="5">
        <v>296</v>
      </c>
      <c r="B301" s="5">
        <v>488227.70945801347</v>
      </c>
      <c r="C301" s="5">
        <v>-489.4494580134633</v>
      </c>
      <c r="E301" s="5">
        <v>121</v>
      </c>
      <c r="F301" s="5">
        <v>578595.4176372654</v>
      </c>
      <c r="G301" s="5">
        <v>-69110.607637265406</v>
      </c>
      <c r="J301" s="5">
        <v>234</v>
      </c>
      <c r="K301" s="5">
        <v>652107.87708303554</v>
      </c>
      <c r="L301" s="5">
        <v>71197.232916964451</v>
      </c>
    </row>
    <row r="302" spans="1:12">
      <c r="A302" s="5">
        <v>297</v>
      </c>
      <c r="B302" s="5">
        <v>671147.08477489976</v>
      </c>
      <c r="C302" s="5">
        <v>-2687.7147748997668</v>
      </c>
      <c r="E302" s="5">
        <v>310</v>
      </c>
      <c r="F302" s="5">
        <v>605959.3003131306</v>
      </c>
      <c r="G302" s="5">
        <v>-69434.460313130636</v>
      </c>
      <c r="J302" s="5">
        <v>160</v>
      </c>
      <c r="K302" s="5">
        <v>549642.86211365578</v>
      </c>
      <c r="L302" s="5">
        <v>71330.16788634425</v>
      </c>
    </row>
    <row r="303" spans="1:12">
      <c r="A303" s="5">
        <v>298</v>
      </c>
      <c r="B303" s="5">
        <v>666446.03541778703</v>
      </c>
      <c r="C303" s="5">
        <v>96716.414582212921</v>
      </c>
      <c r="E303" s="5">
        <v>281</v>
      </c>
      <c r="F303" s="5">
        <v>595858.43420866947</v>
      </c>
      <c r="G303" s="5">
        <v>-70958.864208669518</v>
      </c>
      <c r="J303" s="5">
        <v>98</v>
      </c>
      <c r="K303" s="5">
        <v>662706.24046593253</v>
      </c>
      <c r="L303" s="5">
        <v>72803.159534067498</v>
      </c>
    </row>
    <row r="304" spans="1:12">
      <c r="A304" s="5">
        <v>299</v>
      </c>
      <c r="B304" s="5">
        <v>621014.4598569579</v>
      </c>
      <c r="C304" s="5">
        <v>-21997.129856957938</v>
      </c>
      <c r="E304" s="5">
        <v>272</v>
      </c>
      <c r="F304" s="5">
        <v>668164.30581391952</v>
      </c>
      <c r="G304" s="5">
        <v>-74821.30581391952</v>
      </c>
      <c r="J304" s="5">
        <v>61</v>
      </c>
      <c r="K304" s="5">
        <v>672817.54581360077</v>
      </c>
      <c r="L304" s="5">
        <v>76742.164186399197</v>
      </c>
    </row>
    <row r="305" spans="1:12">
      <c r="A305" s="5">
        <v>300</v>
      </c>
      <c r="B305" s="5">
        <v>479873.51627449039</v>
      </c>
      <c r="C305" s="5">
        <v>-78290.936274490377</v>
      </c>
      <c r="E305" s="5">
        <v>134</v>
      </c>
      <c r="F305" s="5">
        <v>476968.50211164076</v>
      </c>
      <c r="G305" s="5">
        <v>-76136.852111640736</v>
      </c>
      <c r="J305" s="5">
        <v>162</v>
      </c>
      <c r="K305" s="5">
        <v>701523.25496888452</v>
      </c>
      <c r="L305" s="5">
        <v>76775.625031115487</v>
      </c>
    </row>
    <row r="306" spans="1:12">
      <c r="A306" s="5">
        <v>301</v>
      </c>
      <c r="B306" s="5">
        <v>719537.61323905957</v>
      </c>
      <c r="C306" s="5">
        <v>-15724.623239059583</v>
      </c>
      <c r="E306" s="5">
        <v>300</v>
      </c>
      <c r="F306" s="5">
        <v>479873.51627449039</v>
      </c>
      <c r="G306" s="5">
        <v>-78290.936274490377</v>
      </c>
      <c r="J306" s="5">
        <v>304</v>
      </c>
      <c r="K306" s="5">
        <v>703179.06585455546</v>
      </c>
      <c r="L306" s="5">
        <v>77401.884145444492</v>
      </c>
    </row>
    <row r="307" spans="1:12">
      <c r="A307" s="5">
        <v>302</v>
      </c>
      <c r="B307" s="5">
        <v>742201.01770664763</v>
      </c>
      <c r="C307" s="5">
        <v>-17854.28770664765</v>
      </c>
      <c r="E307" s="5">
        <v>210</v>
      </c>
      <c r="F307" s="5">
        <v>770128.74176354043</v>
      </c>
      <c r="G307" s="5">
        <v>-78840.551763540483</v>
      </c>
      <c r="J307" s="5">
        <v>69</v>
      </c>
      <c r="K307" s="5">
        <v>583506.49622256949</v>
      </c>
      <c r="L307" s="5">
        <v>78420.643777430523</v>
      </c>
    </row>
    <row r="308" spans="1:12">
      <c r="A308" s="5">
        <v>303</v>
      </c>
      <c r="B308" s="5">
        <v>734233.14136127441</v>
      </c>
      <c r="C308" s="5">
        <v>-3343.1313612743979</v>
      </c>
      <c r="E308" s="5">
        <v>3</v>
      </c>
      <c r="F308" s="5">
        <v>757784.01010359649</v>
      </c>
      <c r="G308" s="5">
        <v>-79061.950103596435</v>
      </c>
      <c r="J308" s="5">
        <v>291</v>
      </c>
      <c r="K308" s="5">
        <v>734040.97336393304</v>
      </c>
      <c r="L308" s="5">
        <v>79275.736636066926</v>
      </c>
    </row>
    <row r="309" spans="1:12">
      <c r="A309" s="5">
        <v>304</v>
      </c>
      <c r="B309" s="5">
        <v>703179.06585455546</v>
      </c>
      <c r="C309" s="5">
        <v>77401.884145444492</v>
      </c>
      <c r="E309" s="5">
        <v>34</v>
      </c>
      <c r="F309" s="5">
        <v>878785.85412451811</v>
      </c>
      <c r="G309" s="5">
        <v>-79308.094124518102</v>
      </c>
      <c r="J309" s="5">
        <v>257</v>
      </c>
      <c r="K309" s="5">
        <v>759124.16563947196</v>
      </c>
      <c r="L309" s="5">
        <v>80983.954360528034</v>
      </c>
    </row>
    <row r="310" spans="1:12">
      <c r="A310" s="5">
        <v>305</v>
      </c>
      <c r="B310" s="5">
        <v>682668.08510734921</v>
      </c>
      <c r="C310" s="5">
        <v>45289.394892650773</v>
      </c>
      <c r="E310" s="5">
        <v>2</v>
      </c>
      <c r="F310" s="5">
        <v>715714.71686693642</v>
      </c>
      <c r="G310" s="5">
        <v>-81278.716866936418</v>
      </c>
      <c r="J310" s="5">
        <v>83</v>
      </c>
      <c r="K310" s="5">
        <v>644968.34074652952</v>
      </c>
      <c r="L310" s="5">
        <v>82273.519253470469</v>
      </c>
    </row>
    <row r="311" spans="1:12">
      <c r="A311" s="5">
        <v>306</v>
      </c>
      <c r="B311" s="5">
        <v>657852.16667520825</v>
      </c>
      <c r="C311" s="5">
        <v>-119476.16667520825</v>
      </c>
      <c r="E311" s="5">
        <v>29</v>
      </c>
      <c r="F311" s="5">
        <v>595339.55566758022</v>
      </c>
      <c r="G311" s="5">
        <v>-83495.145667580247</v>
      </c>
      <c r="J311" s="5">
        <v>206</v>
      </c>
      <c r="K311" s="5">
        <v>711456.69895685778</v>
      </c>
      <c r="L311" s="5">
        <v>84007.771043142187</v>
      </c>
    </row>
    <row r="312" spans="1:12">
      <c r="A312" s="5">
        <v>307</v>
      </c>
      <c r="B312" s="5">
        <v>640282.5592900617</v>
      </c>
      <c r="C312" s="5">
        <v>25059.930709938286</v>
      </c>
      <c r="E312" s="5">
        <v>170</v>
      </c>
      <c r="F312" s="5">
        <v>677413.13088325143</v>
      </c>
      <c r="G312" s="5">
        <v>-83775.990883251419</v>
      </c>
      <c r="J312" s="5">
        <v>107</v>
      </c>
      <c r="K312" s="5">
        <v>711031.70722380187</v>
      </c>
      <c r="L312" s="5">
        <v>84122.132776198094</v>
      </c>
    </row>
    <row r="313" spans="1:12">
      <c r="A313" s="5">
        <v>308</v>
      </c>
      <c r="B313" s="5">
        <v>692516.80312187271</v>
      </c>
      <c r="C313" s="5">
        <v>-41352.623121872661</v>
      </c>
      <c r="E313" s="5">
        <v>277</v>
      </c>
      <c r="F313" s="5">
        <v>762864.56879828335</v>
      </c>
      <c r="G313" s="5">
        <v>-89788.22879828338</v>
      </c>
      <c r="J313" s="5">
        <v>178</v>
      </c>
      <c r="K313" s="5">
        <v>699442.30281067442</v>
      </c>
      <c r="L313" s="5">
        <v>84139.697189325583</v>
      </c>
    </row>
    <row r="314" spans="1:12">
      <c r="A314" s="5">
        <v>309</v>
      </c>
      <c r="B314" s="5">
        <v>651204.9032362462</v>
      </c>
      <c r="C314" s="5">
        <v>-22666.603236246156</v>
      </c>
      <c r="E314" s="5">
        <v>1</v>
      </c>
      <c r="F314" s="5">
        <v>748982.37052333914</v>
      </c>
      <c r="G314" s="5">
        <v>-90149.750523339142</v>
      </c>
      <c r="J314" s="5">
        <v>43</v>
      </c>
      <c r="K314" s="5">
        <v>573250.13771750964</v>
      </c>
      <c r="L314" s="5">
        <v>84179.042282490409</v>
      </c>
    </row>
    <row r="315" spans="1:12">
      <c r="A315" s="5">
        <v>310</v>
      </c>
      <c r="B315" s="5">
        <v>605959.3003131306</v>
      </c>
      <c r="C315" s="5">
        <v>-69434.460313130636</v>
      </c>
      <c r="E315" s="5">
        <v>196</v>
      </c>
      <c r="F315" s="5">
        <v>547974.61887771415</v>
      </c>
      <c r="G315" s="5">
        <v>-98509.558877714153</v>
      </c>
      <c r="J315" s="5">
        <v>200</v>
      </c>
      <c r="K315" s="5">
        <v>649380.10344687244</v>
      </c>
      <c r="L315" s="5">
        <v>86406.536553127575</v>
      </c>
    </row>
    <row r="316" spans="1:12">
      <c r="A316" s="5">
        <v>311</v>
      </c>
      <c r="B316" s="5">
        <v>643582.63092170027</v>
      </c>
      <c r="C316" s="5">
        <v>-21905.330921700224</v>
      </c>
      <c r="E316" s="5">
        <v>26</v>
      </c>
      <c r="F316" s="5">
        <v>899404.69537850656</v>
      </c>
      <c r="G316" s="5">
        <v>-98952.755378506612</v>
      </c>
      <c r="J316" s="5">
        <v>254</v>
      </c>
      <c r="K316" s="5">
        <v>711329.33203856472</v>
      </c>
      <c r="L316" s="5">
        <v>87717.60796143522</v>
      </c>
    </row>
    <row r="317" spans="1:12">
      <c r="A317" s="5">
        <v>312</v>
      </c>
      <c r="B317" s="5">
        <v>753066.82528074621</v>
      </c>
      <c r="C317" s="5">
        <v>18062.244719253737</v>
      </c>
      <c r="E317" s="5">
        <v>21</v>
      </c>
      <c r="F317" s="5">
        <v>517920.94894358469</v>
      </c>
      <c r="G317" s="5">
        <v>-102199.12894358468</v>
      </c>
      <c r="J317" s="5">
        <v>9</v>
      </c>
      <c r="K317" s="5">
        <v>841864.06336606899</v>
      </c>
      <c r="L317" s="5">
        <v>88717.636633930961</v>
      </c>
    </row>
    <row r="318" spans="1:12">
      <c r="A318" s="5">
        <v>313</v>
      </c>
      <c r="B318" s="5">
        <v>701562.42823636066</v>
      </c>
      <c r="C318" s="5">
        <v>490.04176363931037</v>
      </c>
      <c r="E318" s="5">
        <v>4</v>
      </c>
      <c r="F318" s="5">
        <v>764362.48918372521</v>
      </c>
      <c r="G318" s="5">
        <v>-105442.18918372516</v>
      </c>
      <c r="J318" s="5">
        <v>125</v>
      </c>
      <c r="K318" s="5">
        <v>824942.9961256705</v>
      </c>
      <c r="L318" s="5">
        <v>89601.173874329543</v>
      </c>
    </row>
    <row r="319" spans="1:12">
      <c r="A319" s="5">
        <v>314</v>
      </c>
      <c r="B319" s="5">
        <v>714059.58416563552</v>
      </c>
      <c r="C319" s="5">
        <v>-25691.124165635556</v>
      </c>
      <c r="E319" s="5">
        <v>53</v>
      </c>
      <c r="F319" s="5">
        <v>576138.29483946657</v>
      </c>
      <c r="G319" s="5">
        <v>-112604.04483946657</v>
      </c>
      <c r="J319" s="5">
        <v>187</v>
      </c>
      <c r="K319" s="5">
        <v>674749.24223394319</v>
      </c>
      <c r="L319" s="5">
        <v>91157.707766056759</v>
      </c>
    </row>
    <row r="320" spans="1:12">
      <c r="A320" s="5">
        <v>315</v>
      </c>
      <c r="B320" s="5">
        <v>672126.73339248844</v>
      </c>
      <c r="C320" s="5">
        <v>40249.036607511574</v>
      </c>
      <c r="E320" s="5">
        <v>306</v>
      </c>
      <c r="F320" s="5">
        <v>657852.16667520825</v>
      </c>
      <c r="G320" s="5">
        <v>-119476.16667520825</v>
      </c>
      <c r="J320" s="5">
        <v>298</v>
      </c>
      <c r="K320" s="5">
        <v>666446.03541778703</v>
      </c>
      <c r="L320" s="5">
        <v>96716.414582212921</v>
      </c>
    </row>
    <row r="321" spans="1:12">
      <c r="A321" s="5">
        <v>316</v>
      </c>
      <c r="B321" s="5">
        <v>809327.14631576836</v>
      </c>
      <c r="C321" s="5">
        <v>35383.523684231681</v>
      </c>
      <c r="E321" s="5">
        <v>137</v>
      </c>
      <c r="F321" s="5">
        <v>756902.4682610007</v>
      </c>
      <c r="G321" s="5">
        <v>-123264.43826100067</v>
      </c>
      <c r="J321" s="5">
        <v>75</v>
      </c>
      <c r="K321" s="5">
        <v>688312.37610232679</v>
      </c>
      <c r="L321" s="5">
        <v>99775.303897673264</v>
      </c>
    </row>
    <row r="322" spans="1:12">
      <c r="A322" s="5">
        <v>317</v>
      </c>
      <c r="B322" s="5">
        <v>656599.18654060224</v>
      </c>
      <c r="C322" s="5">
        <v>-36334.986540602287</v>
      </c>
      <c r="E322" s="5">
        <v>90</v>
      </c>
      <c r="F322" s="5">
        <v>755698.33719512692</v>
      </c>
      <c r="G322" s="5">
        <v>-128526.4371951269</v>
      </c>
      <c r="J322" s="5">
        <v>8</v>
      </c>
      <c r="K322" s="5">
        <v>749188.8758577588</v>
      </c>
      <c r="L322" s="5">
        <v>100975.38414224121</v>
      </c>
    </row>
    <row r="323" spans="1:12">
      <c r="A323" s="5">
        <v>318</v>
      </c>
      <c r="B323" s="5">
        <v>535864.08800149115</v>
      </c>
      <c r="C323" s="5">
        <v>981.33199850888923</v>
      </c>
      <c r="E323" s="5">
        <v>33</v>
      </c>
      <c r="F323" s="5">
        <v>771797.39934513066</v>
      </c>
      <c r="G323" s="5">
        <v>-129932.36934513063</v>
      </c>
      <c r="J323" s="5">
        <v>202</v>
      </c>
      <c r="K323" s="5">
        <v>685374.89289873245</v>
      </c>
      <c r="L323" s="5">
        <v>102340.61710126756</v>
      </c>
    </row>
    <row r="324" spans="1:12">
      <c r="A324" s="5">
        <v>319</v>
      </c>
      <c r="B324" s="5">
        <v>731771.82966896682</v>
      </c>
      <c r="C324" s="5">
        <v>-4995.6096689668484</v>
      </c>
      <c r="E324" s="5">
        <v>67</v>
      </c>
      <c r="F324" s="5">
        <v>819475.75012004108</v>
      </c>
      <c r="G324" s="5">
        <v>-134096.67012004112</v>
      </c>
      <c r="J324" s="5">
        <v>104</v>
      </c>
      <c r="K324" s="5">
        <v>503879.70850344258</v>
      </c>
      <c r="L324" s="5">
        <v>121634.33149655745</v>
      </c>
    </row>
    <row r="325" spans="1:12" ht="15" thickBot="1">
      <c r="A325" s="6">
        <v>320</v>
      </c>
      <c r="B325" s="6">
        <v>605173.36022321135</v>
      </c>
      <c r="C325" s="6">
        <v>-45512.520223211381</v>
      </c>
      <c r="E325" s="6">
        <v>45</v>
      </c>
      <c r="F325" s="6">
        <v>739191.30362150562</v>
      </c>
      <c r="G325" s="6">
        <v>-143723.70362150564</v>
      </c>
      <c r="J325" s="6">
        <v>112</v>
      </c>
      <c r="K325" s="6">
        <v>584637.78361062135</v>
      </c>
      <c r="L325" s="6">
        <v>128973.37638937868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5" sqref="A1:F5"/>
    </sheetView>
  </sheetViews>
  <sheetFormatPr defaultRowHeight="14.25"/>
  <cols>
    <col min="1" max="1" width="36.375" customWidth="1"/>
    <col min="2" max="2" width="16.25" bestFit="1" customWidth="1"/>
    <col min="3" max="3" width="8.875" bestFit="1" customWidth="1"/>
    <col min="4" max="4" width="17.625" bestFit="1" customWidth="1"/>
    <col min="5" max="5" width="10.375" customWidth="1"/>
    <col min="6" max="6" width="9.875" bestFit="1" customWidth="1"/>
  </cols>
  <sheetData>
    <row r="1" spans="1:6" ht="15" thickBot="1">
      <c r="A1" s="12" t="s">
        <v>166</v>
      </c>
      <c r="B1" s="12" t="s">
        <v>152</v>
      </c>
      <c r="C1" s="12" t="s">
        <v>167</v>
      </c>
      <c r="D1" s="12" t="s">
        <v>168</v>
      </c>
      <c r="E1" s="12" t="s">
        <v>169</v>
      </c>
      <c r="F1" s="12" t="s">
        <v>170</v>
      </c>
    </row>
    <row r="2" spans="1:6" ht="51.75" thickBot="1">
      <c r="A2" s="10" t="s">
        <v>153</v>
      </c>
      <c r="B2" s="10" t="s">
        <v>154</v>
      </c>
      <c r="C2" s="11">
        <v>0.16719999999999999</v>
      </c>
      <c r="D2" s="10" t="s">
        <v>155</v>
      </c>
      <c r="E2" s="10" t="s">
        <v>156</v>
      </c>
      <c r="F2" s="10" t="s">
        <v>157</v>
      </c>
    </row>
    <row r="3" spans="1:6" ht="77.25" thickBot="1">
      <c r="A3" s="10" t="s">
        <v>158</v>
      </c>
      <c r="B3" s="10" t="s">
        <v>164</v>
      </c>
      <c r="C3" s="11">
        <v>0.73629999999999995</v>
      </c>
      <c r="D3" s="10" t="s">
        <v>159</v>
      </c>
      <c r="E3" s="10" t="s">
        <v>160</v>
      </c>
      <c r="F3" s="10" t="s">
        <v>161</v>
      </c>
    </row>
    <row r="4" spans="1:6" ht="102.75" thickBot="1">
      <c r="A4" s="10" t="s">
        <v>162</v>
      </c>
      <c r="B4" s="10" t="s">
        <v>165</v>
      </c>
      <c r="C4" s="11">
        <v>0.79259999999999997</v>
      </c>
      <c r="D4" s="10" t="s">
        <v>163</v>
      </c>
      <c r="E4" s="10" t="s">
        <v>171</v>
      </c>
      <c r="F4" s="10" t="s">
        <v>172</v>
      </c>
    </row>
    <row r="5" spans="1:6" ht="15" thickBot="1">
      <c r="A5" s="10"/>
      <c r="B5" s="10"/>
      <c r="C5" s="10"/>
      <c r="D5" s="10"/>
      <c r="E5" s="10"/>
      <c r="F5" s="10"/>
    </row>
    <row r="6" spans="1:6" ht="15" thickBot="1">
      <c r="A6" s="10"/>
      <c r="B6" s="10"/>
      <c r="C6" s="10"/>
      <c r="D6" s="10"/>
      <c r="E6" s="10"/>
      <c r="F6" s="10"/>
    </row>
    <row r="7" spans="1:6" ht="15" thickBot="1">
      <c r="A7" s="10"/>
      <c r="B7" s="10"/>
      <c r="C7" s="10"/>
      <c r="D7" s="10"/>
      <c r="E7" s="10"/>
      <c r="F7" s="10"/>
    </row>
    <row r="8" spans="1:6" ht="15" thickBot="1">
      <c r="A8" s="10"/>
      <c r="B8" s="10"/>
      <c r="C8" s="10"/>
      <c r="D8" s="10"/>
      <c r="E8" s="10"/>
      <c r="F8" s="10"/>
    </row>
    <row r="9" spans="1:6">
      <c r="A9" s="9"/>
    </row>
    <row r="10" spans="1:6">
      <c r="A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data_dictionary</vt:lpstr>
      <vt:lpstr>Original_Data</vt:lpstr>
      <vt:lpstr> Cleaned_Data</vt:lpstr>
      <vt:lpstr>Dummy_variables</vt:lpstr>
      <vt:lpstr>Simple_Regression_Marketing</vt:lpstr>
      <vt:lpstr>Simple_Regression_Footfall</vt:lpstr>
      <vt:lpstr>Multiple_Regression</vt:lpstr>
      <vt:lpstr>Predictions_and_Residuals</vt:lpstr>
      <vt:lpstr>Model_Comparison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2026-06-25T18:30:22Z</dcterms:created>
  <dcterms:modified xsi:type="dcterms:W3CDTF">2026-06-26T21:29:42Z</dcterms:modified>
</cp:coreProperties>
</file>